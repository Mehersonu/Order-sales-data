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F:\MainCrafts Technology\Assignment 2\"/>
    </mc:Choice>
  </mc:AlternateContent>
  <xr:revisionPtr revIDLastSave="0" documentId="13_ncr:1_{C41E13DC-15B9-480D-849D-D606AD40D723}" xr6:coauthVersionLast="47" xr6:coauthVersionMax="47" xr10:uidLastSave="{00000000-0000-0000-0000-000000000000}"/>
  <bookViews>
    <workbookView xWindow="-110" yWindow="-110" windowWidth="19420" windowHeight="10300" firstSheet="4" activeTab="7" xr2:uid="{00000000-000D-0000-FFFF-FFFF00000000}"/>
  </bookViews>
  <sheets>
    <sheet name="Pivot table" sheetId="11" r:id="rId1"/>
    <sheet name="Monthly wise trends" sheetId="16" r:id="rId2"/>
    <sheet name="Summary of KPI tables" sheetId="17" r:id="rId3"/>
    <sheet name="Total sales, Profit, Quantity, " sheetId="18" r:id="rId4"/>
    <sheet name="Top Sales Products" sheetId="19" r:id="rId5"/>
    <sheet name="Monts &amp; REgion Wise Sales" sheetId="20" r:id="rId6"/>
    <sheet name="Sales_Data" sheetId="1" r:id="rId7"/>
    <sheet name="dashboard" sheetId="14" r:id="rId8"/>
  </sheets>
  <definedNames>
    <definedName name="Slicer_Category">#N/A</definedName>
    <definedName name="Slicer_Months">#N/A</definedName>
    <definedName name="Slicer_Produc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8" l="1"/>
  <c r="K1001" i="1"/>
  <c r="J1001" i="1"/>
  <c r="I1001" i="1"/>
  <c r="K1000" i="1"/>
  <c r="J1000" i="1"/>
  <c r="I1000" i="1"/>
  <c r="K999" i="1"/>
  <c r="J999" i="1"/>
  <c r="I999" i="1"/>
  <c r="K998" i="1"/>
  <c r="J998" i="1"/>
  <c r="I998" i="1"/>
  <c r="K997" i="1"/>
  <c r="J997" i="1"/>
  <c r="I997" i="1"/>
  <c r="K996" i="1"/>
  <c r="J996" i="1"/>
  <c r="I996" i="1"/>
  <c r="K995" i="1"/>
  <c r="J995" i="1"/>
  <c r="I995" i="1"/>
  <c r="K994" i="1"/>
  <c r="J994" i="1"/>
  <c r="I994" i="1"/>
  <c r="K993" i="1"/>
  <c r="J993" i="1"/>
  <c r="I993" i="1"/>
  <c r="K992" i="1"/>
  <c r="J992" i="1"/>
  <c r="I992" i="1"/>
  <c r="K991" i="1"/>
  <c r="J991" i="1"/>
  <c r="I991" i="1"/>
  <c r="K990" i="1"/>
  <c r="J990" i="1"/>
  <c r="I990" i="1"/>
  <c r="K989" i="1"/>
  <c r="J989" i="1"/>
  <c r="I989" i="1"/>
  <c r="K988" i="1"/>
  <c r="J988" i="1"/>
  <c r="I988" i="1"/>
  <c r="K987" i="1"/>
  <c r="J987" i="1"/>
  <c r="I987" i="1"/>
  <c r="K986" i="1"/>
  <c r="J986" i="1"/>
  <c r="I986" i="1"/>
  <c r="K985" i="1"/>
  <c r="J985" i="1"/>
  <c r="I985" i="1"/>
  <c r="K984" i="1"/>
  <c r="J984" i="1"/>
  <c r="I984" i="1"/>
  <c r="K983" i="1"/>
  <c r="J983" i="1"/>
  <c r="I983" i="1"/>
  <c r="K982" i="1"/>
  <c r="J982" i="1"/>
  <c r="I982" i="1"/>
  <c r="K981" i="1"/>
  <c r="J981" i="1"/>
  <c r="I981" i="1"/>
  <c r="K980" i="1"/>
  <c r="J980" i="1"/>
  <c r="I980" i="1"/>
  <c r="K979" i="1"/>
  <c r="J979" i="1"/>
  <c r="I979" i="1"/>
  <c r="K978" i="1"/>
  <c r="J978" i="1"/>
  <c r="I978" i="1"/>
  <c r="K977" i="1"/>
  <c r="J977" i="1"/>
  <c r="I977" i="1"/>
  <c r="K976" i="1"/>
  <c r="J976" i="1"/>
  <c r="I976" i="1"/>
  <c r="K975" i="1"/>
  <c r="J975" i="1"/>
  <c r="I975" i="1"/>
  <c r="K974" i="1"/>
  <c r="J974" i="1"/>
  <c r="I974" i="1"/>
  <c r="K973" i="1"/>
  <c r="J973" i="1"/>
  <c r="I973" i="1"/>
  <c r="K972" i="1"/>
  <c r="J972" i="1"/>
  <c r="I972" i="1"/>
  <c r="K971" i="1"/>
  <c r="J971" i="1"/>
  <c r="I971" i="1"/>
  <c r="K970" i="1"/>
  <c r="J970" i="1"/>
  <c r="I970" i="1"/>
  <c r="K969" i="1"/>
  <c r="J969" i="1"/>
  <c r="I969" i="1"/>
  <c r="K968" i="1"/>
  <c r="J968" i="1"/>
  <c r="I968" i="1"/>
  <c r="K967" i="1"/>
  <c r="J967" i="1"/>
  <c r="I967" i="1"/>
  <c r="K966" i="1"/>
  <c r="J966" i="1"/>
  <c r="I966" i="1"/>
  <c r="K965" i="1"/>
  <c r="J965" i="1"/>
  <c r="I965" i="1"/>
  <c r="K964" i="1"/>
  <c r="J964" i="1"/>
  <c r="I964" i="1"/>
  <c r="K963" i="1"/>
  <c r="J963" i="1"/>
  <c r="I963" i="1"/>
  <c r="K962" i="1"/>
  <c r="J962" i="1"/>
  <c r="I962" i="1"/>
  <c r="K961" i="1"/>
  <c r="J961" i="1"/>
  <c r="I961" i="1"/>
  <c r="K960" i="1"/>
  <c r="J960" i="1"/>
  <c r="I960" i="1"/>
  <c r="K959" i="1"/>
  <c r="J959" i="1"/>
  <c r="I959" i="1"/>
  <c r="K958" i="1"/>
  <c r="J958" i="1"/>
  <c r="I958" i="1"/>
  <c r="K957" i="1"/>
  <c r="J957" i="1"/>
  <c r="I957" i="1"/>
  <c r="K956" i="1"/>
  <c r="J956" i="1"/>
  <c r="I956" i="1"/>
  <c r="K955" i="1"/>
  <c r="J955" i="1"/>
  <c r="I955" i="1"/>
  <c r="K954" i="1"/>
  <c r="J954" i="1"/>
  <c r="I954" i="1"/>
  <c r="K953" i="1"/>
  <c r="J953" i="1"/>
  <c r="I953" i="1"/>
  <c r="K952" i="1"/>
  <c r="J952" i="1"/>
  <c r="I952" i="1"/>
  <c r="K951" i="1"/>
  <c r="J951" i="1"/>
  <c r="I951" i="1"/>
  <c r="K950" i="1"/>
  <c r="J950" i="1"/>
  <c r="I950" i="1"/>
  <c r="K949" i="1"/>
  <c r="J949" i="1"/>
  <c r="I949" i="1"/>
  <c r="K948" i="1"/>
  <c r="J948" i="1"/>
  <c r="I948" i="1"/>
  <c r="K947" i="1"/>
  <c r="J947" i="1"/>
  <c r="I947" i="1"/>
  <c r="K946" i="1"/>
  <c r="J946" i="1"/>
  <c r="I946" i="1"/>
  <c r="K945" i="1"/>
  <c r="J945" i="1"/>
  <c r="I945" i="1"/>
  <c r="K944" i="1"/>
  <c r="J944" i="1"/>
  <c r="I944" i="1"/>
  <c r="K943" i="1"/>
  <c r="J943" i="1"/>
  <c r="I943" i="1"/>
  <c r="K942" i="1"/>
  <c r="J942" i="1"/>
  <c r="I942" i="1"/>
  <c r="K941" i="1"/>
  <c r="J941" i="1"/>
  <c r="I941" i="1"/>
  <c r="K940" i="1"/>
  <c r="J940" i="1"/>
  <c r="I940" i="1"/>
  <c r="K939" i="1"/>
  <c r="J939" i="1"/>
  <c r="I939" i="1"/>
  <c r="K938" i="1"/>
  <c r="J938" i="1"/>
  <c r="I938" i="1"/>
  <c r="K937" i="1"/>
  <c r="J937" i="1"/>
  <c r="I937" i="1"/>
  <c r="K936" i="1"/>
  <c r="J936" i="1"/>
  <c r="I936" i="1"/>
  <c r="K935" i="1"/>
  <c r="J935" i="1"/>
  <c r="I935" i="1"/>
  <c r="K934" i="1"/>
  <c r="J934" i="1"/>
  <c r="I934" i="1"/>
  <c r="K933" i="1"/>
  <c r="J933" i="1"/>
  <c r="I933" i="1"/>
  <c r="K932" i="1"/>
  <c r="J932" i="1"/>
  <c r="I932" i="1"/>
  <c r="K931" i="1"/>
  <c r="J931" i="1"/>
  <c r="I931" i="1"/>
  <c r="K930" i="1"/>
  <c r="J930" i="1"/>
  <c r="I930" i="1"/>
  <c r="K929" i="1"/>
  <c r="J929" i="1"/>
  <c r="I929" i="1"/>
  <c r="K928" i="1"/>
  <c r="J928" i="1"/>
  <c r="I928" i="1"/>
  <c r="K927" i="1"/>
  <c r="J927" i="1"/>
  <c r="I927" i="1"/>
  <c r="K926" i="1"/>
  <c r="J926" i="1"/>
  <c r="I926" i="1"/>
  <c r="K925" i="1"/>
  <c r="J925" i="1"/>
  <c r="I925" i="1"/>
  <c r="K924" i="1"/>
  <c r="J924" i="1"/>
  <c r="I924" i="1"/>
  <c r="K923" i="1"/>
  <c r="J923" i="1"/>
  <c r="I923" i="1"/>
  <c r="K922" i="1"/>
  <c r="J922" i="1"/>
  <c r="I922" i="1"/>
  <c r="K921" i="1"/>
  <c r="J921" i="1"/>
  <c r="I921" i="1"/>
  <c r="K920" i="1"/>
  <c r="J920" i="1"/>
  <c r="I920" i="1"/>
  <c r="K919" i="1"/>
  <c r="J919" i="1"/>
  <c r="I919" i="1"/>
  <c r="K918" i="1"/>
  <c r="J918" i="1"/>
  <c r="I918" i="1"/>
  <c r="K917" i="1"/>
  <c r="J917" i="1"/>
  <c r="I917" i="1"/>
  <c r="K916" i="1"/>
  <c r="J916" i="1"/>
  <c r="I916" i="1"/>
  <c r="K915" i="1"/>
  <c r="J915" i="1"/>
  <c r="I915" i="1"/>
  <c r="K914" i="1"/>
  <c r="J914" i="1"/>
  <c r="I914" i="1"/>
  <c r="K913" i="1"/>
  <c r="J913" i="1"/>
  <c r="I913" i="1"/>
  <c r="K912" i="1"/>
  <c r="J912" i="1"/>
  <c r="I912" i="1"/>
  <c r="K911" i="1"/>
  <c r="J911" i="1"/>
  <c r="I911" i="1"/>
  <c r="K910" i="1"/>
  <c r="J910" i="1"/>
  <c r="I910" i="1"/>
  <c r="K909" i="1"/>
  <c r="J909" i="1"/>
  <c r="I909" i="1"/>
  <c r="K908" i="1"/>
  <c r="J908" i="1"/>
  <c r="I908" i="1"/>
  <c r="K907" i="1"/>
  <c r="J907" i="1"/>
  <c r="I907" i="1"/>
  <c r="K906" i="1"/>
  <c r="J906" i="1"/>
  <c r="I906" i="1"/>
  <c r="K905" i="1"/>
  <c r="J905" i="1"/>
  <c r="I905" i="1"/>
  <c r="K904" i="1"/>
  <c r="J904" i="1"/>
  <c r="I904" i="1"/>
  <c r="K903" i="1"/>
  <c r="J903" i="1"/>
  <c r="I903" i="1"/>
  <c r="K902" i="1"/>
  <c r="J902" i="1"/>
  <c r="I902" i="1"/>
  <c r="K901" i="1"/>
  <c r="J901" i="1"/>
  <c r="I901" i="1"/>
  <c r="K900" i="1"/>
  <c r="J900" i="1"/>
  <c r="I900" i="1"/>
  <c r="K899" i="1"/>
  <c r="J899" i="1"/>
  <c r="I899" i="1"/>
  <c r="K898" i="1"/>
  <c r="J898" i="1"/>
  <c r="I898" i="1"/>
  <c r="K897" i="1"/>
  <c r="J897" i="1"/>
  <c r="I897" i="1"/>
  <c r="K896" i="1"/>
  <c r="J896" i="1"/>
  <c r="I896" i="1"/>
  <c r="K895" i="1"/>
  <c r="J895" i="1"/>
  <c r="I895" i="1"/>
  <c r="K894" i="1"/>
  <c r="J894" i="1"/>
  <c r="I894" i="1"/>
  <c r="K893" i="1"/>
  <c r="J893" i="1"/>
  <c r="I893" i="1"/>
  <c r="K892" i="1"/>
  <c r="J892" i="1"/>
  <c r="I892" i="1"/>
  <c r="K891" i="1"/>
  <c r="J891" i="1"/>
  <c r="I891" i="1"/>
  <c r="K890" i="1"/>
  <c r="J890" i="1"/>
  <c r="I890" i="1"/>
  <c r="K889" i="1"/>
  <c r="J889" i="1"/>
  <c r="I889" i="1"/>
  <c r="K888" i="1"/>
  <c r="J888" i="1"/>
  <c r="I888" i="1"/>
  <c r="K887" i="1"/>
  <c r="J887" i="1"/>
  <c r="I887" i="1"/>
  <c r="K886" i="1"/>
  <c r="J886" i="1"/>
  <c r="I886" i="1"/>
  <c r="K885" i="1"/>
  <c r="J885" i="1"/>
  <c r="I885" i="1"/>
  <c r="K884" i="1"/>
  <c r="J884" i="1"/>
  <c r="I884" i="1"/>
  <c r="K883" i="1"/>
  <c r="J883" i="1"/>
  <c r="I883" i="1"/>
  <c r="K882" i="1"/>
  <c r="J882" i="1"/>
  <c r="I882" i="1"/>
  <c r="K881" i="1"/>
  <c r="J881" i="1"/>
  <c r="I881" i="1"/>
  <c r="K880" i="1"/>
  <c r="J880" i="1"/>
  <c r="I880" i="1"/>
  <c r="K879" i="1"/>
  <c r="J879" i="1"/>
  <c r="I879" i="1"/>
  <c r="K878" i="1"/>
  <c r="J878" i="1"/>
  <c r="I878" i="1"/>
  <c r="K877" i="1"/>
  <c r="J877" i="1"/>
  <c r="I877" i="1"/>
  <c r="K876" i="1"/>
  <c r="J876" i="1"/>
  <c r="I876" i="1"/>
  <c r="K875" i="1"/>
  <c r="J875" i="1"/>
  <c r="I875" i="1"/>
  <c r="K874" i="1"/>
  <c r="J874" i="1"/>
  <c r="I874" i="1"/>
  <c r="K873" i="1"/>
  <c r="J873" i="1"/>
  <c r="I873" i="1"/>
  <c r="K872" i="1"/>
  <c r="J872" i="1"/>
  <c r="I872" i="1"/>
  <c r="K871" i="1"/>
  <c r="J871" i="1"/>
  <c r="I871" i="1"/>
  <c r="K870" i="1"/>
  <c r="J870" i="1"/>
  <c r="I870" i="1"/>
  <c r="K869" i="1"/>
  <c r="J869" i="1"/>
  <c r="I869" i="1"/>
  <c r="K868" i="1"/>
  <c r="J868" i="1"/>
  <c r="I868" i="1"/>
  <c r="K867" i="1"/>
  <c r="J867" i="1"/>
  <c r="I867" i="1"/>
  <c r="K866" i="1"/>
  <c r="J866" i="1"/>
  <c r="I866" i="1"/>
  <c r="K865" i="1"/>
  <c r="J865" i="1"/>
  <c r="I865" i="1"/>
  <c r="K864" i="1"/>
  <c r="J864" i="1"/>
  <c r="I864" i="1"/>
  <c r="K863" i="1"/>
  <c r="J863" i="1"/>
  <c r="I863" i="1"/>
  <c r="K862" i="1"/>
  <c r="J862" i="1"/>
  <c r="I862" i="1"/>
  <c r="K861" i="1"/>
  <c r="J861" i="1"/>
  <c r="I861" i="1"/>
  <c r="K860" i="1"/>
  <c r="J860" i="1"/>
  <c r="I860" i="1"/>
  <c r="K859" i="1"/>
  <c r="J859" i="1"/>
  <c r="I859" i="1"/>
  <c r="K858" i="1"/>
  <c r="J858" i="1"/>
  <c r="I858" i="1"/>
  <c r="K857" i="1"/>
  <c r="J857" i="1"/>
  <c r="I857" i="1"/>
  <c r="K856" i="1"/>
  <c r="J856" i="1"/>
  <c r="I856" i="1"/>
  <c r="K855" i="1"/>
  <c r="J855" i="1"/>
  <c r="I855" i="1"/>
  <c r="K854" i="1"/>
  <c r="J854" i="1"/>
  <c r="I854" i="1"/>
  <c r="K853" i="1"/>
  <c r="J853" i="1"/>
  <c r="I853" i="1"/>
  <c r="K852" i="1"/>
  <c r="J852" i="1"/>
  <c r="I852" i="1"/>
  <c r="K851" i="1"/>
  <c r="J851" i="1"/>
  <c r="I851" i="1"/>
  <c r="K850" i="1"/>
  <c r="J850" i="1"/>
  <c r="I850" i="1"/>
  <c r="K849" i="1"/>
  <c r="J849" i="1"/>
  <c r="I849" i="1"/>
  <c r="K848" i="1"/>
  <c r="J848" i="1"/>
  <c r="I848" i="1"/>
  <c r="K847" i="1"/>
  <c r="J847" i="1"/>
  <c r="I847" i="1"/>
  <c r="K846" i="1"/>
  <c r="J846" i="1"/>
  <c r="I846" i="1"/>
  <c r="K845" i="1"/>
  <c r="J845" i="1"/>
  <c r="I845" i="1"/>
  <c r="K844" i="1"/>
  <c r="J844" i="1"/>
  <c r="I844" i="1"/>
  <c r="K843" i="1"/>
  <c r="J843" i="1"/>
  <c r="I843" i="1"/>
  <c r="K842" i="1"/>
  <c r="J842" i="1"/>
  <c r="I842" i="1"/>
  <c r="K841" i="1"/>
  <c r="J841" i="1"/>
  <c r="I841" i="1"/>
  <c r="K840" i="1"/>
  <c r="J840" i="1"/>
  <c r="I840" i="1"/>
  <c r="K839" i="1"/>
  <c r="J839" i="1"/>
  <c r="I839" i="1"/>
  <c r="K838" i="1"/>
  <c r="J838" i="1"/>
  <c r="I838" i="1"/>
  <c r="K837" i="1"/>
  <c r="J837" i="1"/>
  <c r="I837" i="1"/>
  <c r="K836" i="1"/>
  <c r="J836" i="1"/>
  <c r="I836" i="1"/>
  <c r="K835" i="1"/>
  <c r="J835" i="1"/>
  <c r="I835" i="1"/>
  <c r="K834" i="1"/>
  <c r="J834" i="1"/>
  <c r="I834" i="1"/>
  <c r="K833" i="1"/>
  <c r="J833" i="1"/>
  <c r="I833" i="1"/>
  <c r="K832" i="1"/>
  <c r="J832" i="1"/>
  <c r="I832" i="1"/>
  <c r="K831" i="1"/>
  <c r="J831" i="1"/>
  <c r="I831" i="1"/>
  <c r="K830" i="1"/>
  <c r="J830" i="1"/>
  <c r="I830" i="1"/>
  <c r="K829" i="1"/>
  <c r="J829" i="1"/>
  <c r="I829" i="1"/>
  <c r="K828" i="1"/>
  <c r="J828" i="1"/>
  <c r="I828" i="1"/>
  <c r="K827" i="1"/>
  <c r="J827" i="1"/>
  <c r="I827" i="1"/>
  <c r="K826" i="1"/>
  <c r="J826" i="1"/>
  <c r="I826" i="1"/>
  <c r="K825" i="1"/>
  <c r="J825" i="1"/>
  <c r="I825" i="1"/>
  <c r="K824" i="1"/>
  <c r="J824" i="1"/>
  <c r="I824" i="1"/>
  <c r="K823" i="1"/>
  <c r="J823" i="1"/>
  <c r="I823" i="1"/>
  <c r="K822" i="1"/>
  <c r="J822" i="1"/>
  <c r="I822" i="1"/>
  <c r="K821" i="1"/>
  <c r="J821" i="1"/>
  <c r="I821" i="1"/>
  <c r="K820" i="1"/>
  <c r="J820" i="1"/>
  <c r="I820" i="1"/>
  <c r="K819" i="1"/>
  <c r="J819" i="1"/>
  <c r="I819" i="1"/>
  <c r="K818" i="1"/>
  <c r="J818" i="1"/>
  <c r="I818" i="1"/>
  <c r="K817" i="1"/>
  <c r="J817" i="1"/>
  <c r="I817" i="1"/>
  <c r="K816" i="1"/>
  <c r="J816" i="1"/>
  <c r="I816" i="1"/>
  <c r="K815" i="1"/>
  <c r="J815" i="1"/>
  <c r="I815" i="1"/>
  <c r="K814" i="1"/>
  <c r="J814" i="1"/>
  <c r="I814" i="1"/>
  <c r="K813" i="1"/>
  <c r="J813" i="1"/>
  <c r="I813" i="1"/>
  <c r="K812" i="1"/>
  <c r="J812" i="1"/>
  <c r="I812" i="1"/>
  <c r="K811" i="1"/>
  <c r="J811" i="1"/>
  <c r="I811" i="1"/>
  <c r="K810" i="1"/>
  <c r="J810" i="1"/>
  <c r="I810" i="1"/>
  <c r="K809" i="1"/>
  <c r="J809" i="1"/>
  <c r="I809" i="1"/>
  <c r="K808" i="1"/>
  <c r="J808" i="1"/>
  <c r="I808" i="1"/>
  <c r="K807" i="1"/>
  <c r="J807" i="1"/>
  <c r="I807" i="1"/>
  <c r="K806" i="1"/>
  <c r="J806" i="1"/>
  <c r="I806" i="1"/>
  <c r="K805" i="1"/>
  <c r="J805" i="1"/>
  <c r="I805" i="1"/>
  <c r="K804" i="1"/>
  <c r="J804" i="1"/>
  <c r="I804" i="1"/>
  <c r="K803" i="1"/>
  <c r="J803" i="1"/>
  <c r="I803" i="1"/>
  <c r="K802" i="1"/>
  <c r="J802" i="1"/>
  <c r="I802" i="1"/>
  <c r="K801" i="1"/>
  <c r="J801" i="1"/>
  <c r="I801" i="1"/>
  <c r="K800" i="1"/>
  <c r="J800" i="1"/>
  <c r="I800" i="1"/>
  <c r="K799" i="1"/>
  <c r="J799" i="1"/>
  <c r="I799" i="1"/>
  <c r="K798" i="1"/>
  <c r="J798" i="1"/>
  <c r="I798" i="1"/>
  <c r="K797" i="1"/>
  <c r="J797" i="1"/>
  <c r="I797" i="1"/>
  <c r="K796" i="1"/>
  <c r="J796" i="1"/>
  <c r="I796" i="1"/>
  <c r="K795" i="1"/>
  <c r="J795" i="1"/>
  <c r="I795" i="1"/>
  <c r="K794" i="1"/>
  <c r="J794" i="1"/>
  <c r="I794" i="1"/>
  <c r="K793" i="1"/>
  <c r="J793" i="1"/>
  <c r="I793" i="1"/>
  <c r="K792" i="1"/>
  <c r="J792" i="1"/>
  <c r="I792" i="1"/>
  <c r="K791" i="1"/>
  <c r="J791" i="1"/>
  <c r="I791" i="1"/>
  <c r="K790" i="1"/>
  <c r="J790" i="1"/>
  <c r="I790" i="1"/>
  <c r="K789" i="1"/>
  <c r="J789" i="1"/>
  <c r="I789" i="1"/>
  <c r="K788" i="1"/>
  <c r="J788" i="1"/>
  <c r="I788" i="1"/>
  <c r="K787" i="1"/>
  <c r="J787" i="1"/>
  <c r="I787" i="1"/>
  <c r="K786" i="1"/>
  <c r="J786" i="1"/>
  <c r="I786" i="1"/>
  <c r="K785" i="1"/>
  <c r="J785" i="1"/>
  <c r="I785" i="1"/>
  <c r="K784" i="1"/>
  <c r="J784" i="1"/>
  <c r="I784" i="1"/>
  <c r="K783" i="1"/>
  <c r="J783" i="1"/>
  <c r="I783" i="1"/>
  <c r="K782" i="1"/>
  <c r="J782" i="1"/>
  <c r="I782" i="1"/>
  <c r="K781" i="1"/>
  <c r="J781" i="1"/>
  <c r="I781" i="1"/>
  <c r="K780" i="1"/>
  <c r="J780" i="1"/>
  <c r="I780" i="1"/>
  <c r="K779" i="1"/>
  <c r="J779" i="1"/>
  <c r="I779" i="1"/>
  <c r="K778" i="1"/>
  <c r="J778" i="1"/>
  <c r="I778" i="1"/>
  <c r="K777" i="1"/>
  <c r="J777" i="1"/>
  <c r="I777" i="1"/>
  <c r="K776" i="1"/>
  <c r="J776" i="1"/>
  <c r="I776" i="1"/>
  <c r="K775" i="1"/>
  <c r="J775" i="1"/>
  <c r="I775" i="1"/>
  <c r="K774" i="1"/>
  <c r="J774" i="1"/>
  <c r="I774" i="1"/>
  <c r="K773" i="1"/>
  <c r="J773" i="1"/>
  <c r="I773" i="1"/>
  <c r="K772" i="1"/>
  <c r="J772" i="1"/>
  <c r="I772" i="1"/>
  <c r="K771" i="1"/>
  <c r="J771" i="1"/>
  <c r="I771" i="1"/>
  <c r="K770" i="1"/>
  <c r="J770" i="1"/>
  <c r="I770" i="1"/>
  <c r="K769" i="1"/>
  <c r="J769" i="1"/>
  <c r="I769" i="1"/>
  <c r="K768" i="1"/>
  <c r="J768" i="1"/>
  <c r="I768" i="1"/>
  <c r="K767" i="1"/>
  <c r="J767" i="1"/>
  <c r="I767" i="1"/>
  <c r="K766" i="1"/>
  <c r="J766" i="1"/>
  <c r="I766" i="1"/>
  <c r="K765" i="1"/>
  <c r="J765" i="1"/>
  <c r="I765" i="1"/>
  <c r="K764" i="1"/>
  <c r="J764" i="1"/>
  <c r="I764" i="1"/>
  <c r="K763" i="1"/>
  <c r="J763" i="1"/>
  <c r="I763" i="1"/>
  <c r="K762" i="1"/>
  <c r="J762" i="1"/>
  <c r="I762" i="1"/>
  <c r="K761" i="1"/>
  <c r="J761" i="1"/>
  <c r="I761" i="1"/>
  <c r="K760" i="1"/>
  <c r="J760" i="1"/>
  <c r="I760" i="1"/>
  <c r="K759" i="1"/>
  <c r="J759" i="1"/>
  <c r="I759" i="1"/>
  <c r="K758" i="1"/>
  <c r="J758" i="1"/>
  <c r="I758" i="1"/>
  <c r="K757" i="1"/>
  <c r="J757" i="1"/>
  <c r="I757" i="1"/>
  <c r="K756" i="1"/>
  <c r="J756" i="1"/>
  <c r="I756" i="1"/>
  <c r="K755" i="1"/>
  <c r="J755" i="1"/>
  <c r="I755" i="1"/>
  <c r="K754" i="1"/>
  <c r="J754" i="1"/>
  <c r="I754" i="1"/>
  <c r="K753" i="1"/>
  <c r="J753" i="1"/>
  <c r="I753" i="1"/>
  <c r="K752" i="1"/>
  <c r="J752" i="1"/>
  <c r="I752" i="1"/>
  <c r="K751" i="1"/>
  <c r="J751" i="1"/>
  <c r="I751" i="1"/>
  <c r="K750" i="1"/>
  <c r="J750" i="1"/>
  <c r="I750" i="1"/>
  <c r="K749" i="1"/>
  <c r="J749" i="1"/>
  <c r="I749" i="1"/>
  <c r="K748" i="1"/>
  <c r="J748" i="1"/>
  <c r="I748" i="1"/>
  <c r="K747" i="1"/>
  <c r="J747" i="1"/>
  <c r="I747" i="1"/>
  <c r="K746" i="1"/>
  <c r="J746" i="1"/>
  <c r="I746" i="1"/>
  <c r="K745" i="1"/>
  <c r="J745" i="1"/>
  <c r="I745" i="1"/>
  <c r="K744" i="1"/>
  <c r="J744" i="1"/>
  <c r="I744" i="1"/>
  <c r="K743" i="1"/>
  <c r="J743" i="1"/>
  <c r="I743" i="1"/>
  <c r="K742" i="1"/>
  <c r="J742" i="1"/>
  <c r="I742" i="1"/>
  <c r="K741" i="1"/>
  <c r="J741" i="1"/>
  <c r="I741" i="1"/>
  <c r="K740" i="1"/>
  <c r="J740" i="1"/>
  <c r="I740" i="1"/>
  <c r="K739" i="1"/>
  <c r="J739" i="1"/>
  <c r="I739" i="1"/>
  <c r="K738" i="1"/>
  <c r="J738" i="1"/>
  <c r="I738" i="1"/>
  <c r="K737" i="1"/>
  <c r="J737" i="1"/>
  <c r="I737" i="1"/>
  <c r="K736" i="1"/>
  <c r="J736" i="1"/>
  <c r="I736" i="1"/>
  <c r="K735" i="1"/>
  <c r="J735" i="1"/>
  <c r="I735" i="1"/>
  <c r="K734" i="1"/>
  <c r="J734" i="1"/>
  <c r="I734" i="1"/>
  <c r="K733" i="1"/>
  <c r="J733" i="1"/>
  <c r="I733" i="1"/>
  <c r="K732" i="1"/>
  <c r="J732" i="1"/>
  <c r="I732" i="1"/>
  <c r="K731" i="1"/>
  <c r="J731" i="1"/>
  <c r="I731" i="1"/>
  <c r="K730" i="1"/>
  <c r="J730" i="1"/>
  <c r="I730" i="1"/>
  <c r="K729" i="1"/>
  <c r="J729" i="1"/>
  <c r="I729" i="1"/>
  <c r="K728" i="1"/>
  <c r="J728" i="1"/>
  <c r="I728" i="1"/>
  <c r="K727" i="1"/>
  <c r="J727" i="1"/>
  <c r="I727" i="1"/>
  <c r="K726" i="1"/>
  <c r="J726" i="1"/>
  <c r="I726" i="1"/>
  <c r="K725" i="1"/>
  <c r="J725" i="1"/>
  <c r="I725" i="1"/>
  <c r="K724" i="1"/>
  <c r="J724" i="1"/>
  <c r="I724" i="1"/>
  <c r="K723" i="1"/>
  <c r="J723" i="1"/>
  <c r="I723" i="1"/>
  <c r="K722" i="1"/>
  <c r="J722" i="1"/>
  <c r="I722" i="1"/>
  <c r="K721" i="1"/>
  <c r="J721" i="1"/>
  <c r="I721" i="1"/>
  <c r="K720" i="1"/>
  <c r="J720" i="1"/>
  <c r="I720" i="1"/>
  <c r="K719" i="1"/>
  <c r="J719" i="1"/>
  <c r="I719" i="1"/>
  <c r="K718" i="1"/>
  <c r="J718" i="1"/>
  <c r="I718" i="1"/>
  <c r="K717" i="1"/>
  <c r="J717" i="1"/>
  <c r="I717" i="1"/>
  <c r="K716" i="1"/>
  <c r="J716" i="1"/>
  <c r="I716" i="1"/>
  <c r="K715" i="1"/>
  <c r="J715" i="1"/>
  <c r="I715" i="1"/>
  <c r="K714" i="1"/>
  <c r="J714" i="1"/>
  <c r="I714" i="1"/>
  <c r="K713" i="1"/>
  <c r="J713" i="1"/>
  <c r="I713" i="1"/>
  <c r="K712" i="1"/>
  <c r="J712" i="1"/>
  <c r="I712" i="1"/>
  <c r="K711" i="1"/>
  <c r="J711" i="1"/>
  <c r="I711" i="1"/>
  <c r="K710" i="1"/>
  <c r="J710" i="1"/>
  <c r="I710" i="1"/>
  <c r="K709" i="1"/>
  <c r="J709" i="1"/>
  <c r="I709" i="1"/>
  <c r="K708" i="1"/>
  <c r="J708" i="1"/>
  <c r="I708" i="1"/>
  <c r="K707" i="1"/>
  <c r="J707" i="1"/>
  <c r="I707" i="1"/>
  <c r="K706" i="1"/>
  <c r="J706" i="1"/>
  <c r="I706" i="1"/>
  <c r="K705" i="1"/>
  <c r="J705" i="1"/>
  <c r="I705" i="1"/>
  <c r="K704" i="1"/>
  <c r="J704" i="1"/>
  <c r="I704" i="1"/>
  <c r="K703" i="1"/>
  <c r="J703" i="1"/>
  <c r="I703" i="1"/>
  <c r="K702" i="1"/>
  <c r="J702" i="1"/>
  <c r="I702" i="1"/>
  <c r="K701" i="1"/>
  <c r="J701" i="1"/>
  <c r="I701" i="1"/>
  <c r="K700" i="1"/>
  <c r="J700" i="1"/>
  <c r="I700" i="1"/>
  <c r="K699" i="1"/>
  <c r="J699" i="1"/>
  <c r="I699" i="1"/>
  <c r="K698" i="1"/>
  <c r="J698" i="1"/>
  <c r="I698" i="1"/>
  <c r="K697" i="1"/>
  <c r="J697" i="1"/>
  <c r="I697" i="1"/>
  <c r="K696" i="1"/>
  <c r="J696" i="1"/>
  <c r="I696" i="1"/>
  <c r="K695" i="1"/>
  <c r="J695" i="1"/>
  <c r="I695" i="1"/>
  <c r="K694" i="1"/>
  <c r="J694" i="1"/>
  <c r="I694" i="1"/>
  <c r="K693" i="1"/>
  <c r="J693" i="1"/>
  <c r="I693" i="1"/>
  <c r="K692" i="1"/>
  <c r="J692" i="1"/>
  <c r="I692" i="1"/>
  <c r="K691" i="1"/>
  <c r="J691" i="1"/>
  <c r="I691" i="1"/>
  <c r="K690" i="1"/>
  <c r="J690" i="1"/>
  <c r="I690" i="1"/>
  <c r="K689" i="1"/>
  <c r="J689" i="1"/>
  <c r="I689" i="1"/>
  <c r="K688" i="1"/>
  <c r="J688" i="1"/>
  <c r="I688" i="1"/>
  <c r="K687" i="1"/>
  <c r="J687" i="1"/>
  <c r="I687" i="1"/>
  <c r="K686" i="1"/>
  <c r="J686" i="1"/>
  <c r="I686" i="1"/>
  <c r="K685" i="1"/>
  <c r="J685" i="1"/>
  <c r="I685" i="1"/>
  <c r="K684" i="1"/>
  <c r="J684" i="1"/>
  <c r="I684" i="1"/>
  <c r="K683" i="1"/>
  <c r="J683" i="1"/>
  <c r="I683" i="1"/>
  <c r="K682" i="1"/>
  <c r="J682" i="1"/>
  <c r="I682" i="1"/>
  <c r="K681" i="1"/>
  <c r="J681" i="1"/>
  <c r="I681" i="1"/>
  <c r="K680" i="1"/>
  <c r="J680" i="1"/>
  <c r="I680" i="1"/>
  <c r="K679" i="1"/>
  <c r="J679" i="1"/>
  <c r="I679" i="1"/>
  <c r="K678" i="1"/>
  <c r="J678" i="1"/>
  <c r="I678" i="1"/>
  <c r="K677" i="1"/>
  <c r="J677" i="1"/>
  <c r="I677" i="1"/>
  <c r="K676" i="1"/>
  <c r="J676" i="1"/>
  <c r="I676" i="1"/>
  <c r="K675" i="1"/>
  <c r="J675" i="1"/>
  <c r="I675" i="1"/>
  <c r="K674" i="1"/>
  <c r="J674" i="1"/>
  <c r="I674" i="1"/>
  <c r="K673" i="1"/>
  <c r="J673" i="1"/>
  <c r="I673" i="1"/>
  <c r="K672" i="1"/>
  <c r="J672" i="1"/>
  <c r="I672" i="1"/>
  <c r="K671" i="1"/>
  <c r="J671" i="1"/>
  <c r="I671" i="1"/>
  <c r="K670" i="1"/>
  <c r="J670" i="1"/>
  <c r="I670" i="1"/>
  <c r="K669" i="1"/>
  <c r="J669" i="1"/>
  <c r="I669" i="1"/>
  <c r="K668" i="1"/>
  <c r="J668" i="1"/>
  <c r="I668" i="1"/>
  <c r="K667" i="1"/>
  <c r="J667" i="1"/>
  <c r="I667" i="1"/>
  <c r="K666" i="1"/>
  <c r="J666" i="1"/>
  <c r="I666" i="1"/>
  <c r="K665" i="1"/>
  <c r="J665" i="1"/>
  <c r="I665" i="1"/>
  <c r="K664" i="1"/>
  <c r="J664" i="1"/>
  <c r="I664" i="1"/>
  <c r="K663" i="1"/>
  <c r="J663" i="1"/>
  <c r="I663" i="1"/>
  <c r="K662" i="1"/>
  <c r="J662" i="1"/>
  <c r="I662" i="1"/>
  <c r="K661" i="1"/>
  <c r="J661" i="1"/>
  <c r="I661" i="1"/>
  <c r="K660" i="1"/>
  <c r="J660" i="1"/>
  <c r="I660" i="1"/>
  <c r="K659" i="1"/>
  <c r="J659" i="1"/>
  <c r="I659" i="1"/>
  <c r="K658" i="1"/>
  <c r="J658" i="1"/>
  <c r="I658" i="1"/>
  <c r="K657" i="1"/>
  <c r="J657" i="1"/>
  <c r="I657" i="1"/>
  <c r="K656" i="1"/>
  <c r="J656" i="1"/>
  <c r="I656" i="1"/>
  <c r="K655" i="1"/>
  <c r="J655" i="1"/>
  <c r="I655" i="1"/>
  <c r="K654" i="1"/>
  <c r="J654" i="1"/>
  <c r="I654" i="1"/>
  <c r="K653" i="1"/>
  <c r="J653" i="1"/>
  <c r="I653" i="1"/>
  <c r="K652" i="1"/>
  <c r="J652" i="1"/>
  <c r="I652" i="1"/>
  <c r="K651" i="1"/>
  <c r="J651" i="1"/>
  <c r="I651" i="1"/>
  <c r="K650" i="1"/>
  <c r="J650" i="1"/>
  <c r="I650" i="1"/>
  <c r="K649" i="1"/>
  <c r="J649" i="1"/>
  <c r="I649" i="1"/>
  <c r="K648" i="1"/>
  <c r="J648" i="1"/>
  <c r="I648" i="1"/>
  <c r="K647" i="1"/>
  <c r="J647" i="1"/>
  <c r="I647" i="1"/>
  <c r="K646" i="1"/>
  <c r="J646" i="1"/>
  <c r="I646" i="1"/>
  <c r="K645" i="1"/>
  <c r="J645" i="1"/>
  <c r="I645" i="1"/>
  <c r="K644" i="1"/>
  <c r="J644" i="1"/>
  <c r="I644" i="1"/>
  <c r="K643" i="1"/>
  <c r="J643" i="1"/>
  <c r="I643" i="1"/>
  <c r="K642" i="1"/>
  <c r="J642" i="1"/>
  <c r="I642" i="1"/>
  <c r="K641" i="1"/>
  <c r="J641" i="1"/>
  <c r="I641" i="1"/>
  <c r="K640" i="1"/>
  <c r="J640" i="1"/>
  <c r="I640" i="1"/>
  <c r="K639" i="1"/>
  <c r="J639" i="1"/>
  <c r="I639" i="1"/>
  <c r="K638" i="1"/>
  <c r="J638" i="1"/>
  <c r="I638" i="1"/>
  <c r="K637" i="1"/>
  <c r="J637" i="1"/>
  <c r="I637" i="1"/>
  <c r="K636" i="1"/>
  <c r="J636" i="1"/>
  <c r="I636" i="1"/>
  <c r="K635" i="1"/>
  <c r="J635" i="1"/>
  <c r="I635" i="1"/>
  <c r="K634" i="1"/>
  <c r="J634" i="1"/>
  <c r="I634" i="1"/>
  <c r="K633" i="1"/>
  <c r="J633" i="1"/>
  <c r="I633" i="1"/>
  <c r="K632" i="1"/>
  <c r="J632" i="1"/>
  <c r="I632" i="1"/>
  <c r="K631" i="1"/>
  <c r="J631" i="1"/>
  <c r="I631" i="1"/>
  <c r="K630" i="1"/>
  <c r="J630" i="1"/>
  <c r="I630" i="1"/>
  <c r="K629" i="1"/>
  <c r="J629" i="1"/>
  <c r="I629" i="1"/>
  <c r="K628" i="1"/>
  <c r="J628" i="1"/>
  <c r="I628" i="1"/>
  <c r="K627" i="1"/>
  <c r="J627" i="1"/>
  <c r="I627" i="1"/>
  <c r="K626" i="1"/>
  <c r="J626" i="1"/>
  <c r="I626" i="1"/>
  <c r="K625" i="1"/>
  <c r="J625" i="1"/>
  <c r="I625" i="1"/>
  <c r="K624" i="1"/>
  <c r="J624" i="1"/>
  <c r="I624" i="1"/>
  <c r="K623" i="1"/>
  <c r="J623" i="1"/>
  <c r="I623" i="1"/>
  <c r="K622" i="1"/>
  <c r="J622" i="1"/>
  <c r="I622" i="1"/>
  <c r="K621" i="1"/>
  <c r="J621" i="1"/>
  <c r="I621" i="1"/>
  <c r="K620" i="1"/>
  <c r="J620" i="1"/>
  <c r="I620" i="1"/>
  <c r="K619" i="1"/>
  <c r="J619" i="1"/>
  <c r="I619" i="1"/>
  <c r="K618" i="1"/>
  <c r="J618" i="1"/>
  <c r="I618" i="1"/>
  <c r="K617" i="1"/>
  <c r="J617" i="1"/>
  <c r="I617" i="1"/>
  <c r="K616" i="1"/>
  <c r="J616" i="1"/>
  <c r="I616" i="1"/>
  <c r="K615" i="1"/>
  <c r="J615" i="1"/>
  <c r="I615" i="1"/>
  <c r="K614" i="1"/>
  <c r="J614" i="1"/>
  <c r="I614" i="1"/>
  <c r="K613" i="1"/>
  <c r="J613" i="1"/>
  <c r="I613" i="1"/>
  <c r="K612" i="1"/>
  <c r="J612" i="1"/>
  <c r="I612" i="1"/>
  <c r="K611" i="1"/>
  <c r="J611" i="1"/>
  <c r="I611" i="1"/>
  <c r="K610" i="1"/>
  <c r="J610" i="1"/>
  <c r="I610" i="1"/>
  <c r="K609" i="1"/>
  <c r="J609" i="1"/>
  <c r="I609" i="1"/>
  <c r="K608" i="1"/>
  <c r="J608" i="1"/>
  <c r="I608" i="1"/>
  <c r="K607" i="1"/>
  <c r="J607" i="1"/>
  <c r="I607" i="1"/>
  <c r="K606" i="1"/>
  <c r="J606" i="1"/>
  <c r="I606" i="1"/>
  <c r="K605" i="1"/>
  <c r="J605" i="1"/>
  <c r="I605" i="1"/>
  <c r="K604" i="1"/>
  <c r="J604" i="1"/>
  <c r="I604" i="1"/>
  <c r="K603" i="1"/>
  <c r="J603" i="1"/>
  <c r="I603" i="1"/>
  <c r="K602" i="1"/>
  <c r="J602" i="1"/>
  <c r="I602" i="1"/>
  <c r="K601" i="1"/>
  <c r="J601" i="1"/>
  <c r="I601" i="1"/>
  <c r="K600" i="1"/>
  <c r="J600" i="1"/>
  <c r="I600" i="1"/>
  <c r="K599" i="1"/>
  <c r="J599" i="1"/>
  <c r="I599" i="1"/>
  <c r="K598" i="1"/>
  <c r="J598" i="1"/>
  <c r="I598" i="1"/>
  <c r="K597" i="1"/>
  <c r="J597" i="1"/>
  <c r="I597" i="1"/>
  <c r="K596" i="1"/>
  <c r="J596" i="1"/>
  <c r="I596" i="1"/>
  <c r="K595" i="1"/>
  <c r="J595" i="1"/>
  <c r="I595" i="1"/>
  <c r="K594" i="1"/>
  <c r="J594" i="1"/>
  <c r="I594" i="1"/>
  <c r="K593" i="1"/>
  <c r="J593" i="1"/>
  <c r="I593" i="1"/>
  <c r="K592" i="1"/>
  <c r="J592" i="1"/>
  <c r="I592" i="1"/>
  <c r="K591" i="1"/>
  <c r="J591" i="1"/>
  <c r="I591" i="1"/>
  <c r="K590" i="1"/>
  <c r="J590" i="1"/>
  <c r="I590" i="1"/>
  <c r="K589" i="1"/>
  <c r="J589" i="1"/>
  <c r="I589" i="1"/>
  <c r="K588" i="1"/>
  <c r="J588" i="1"/>
  <c r="I588" i="1"/>
  <c r="K587" i="1"/>
  <c r="J587" i="1"/>
  <c r="I587" i="1"/>
  <c r="K586" i="1"/>
  <c r="J586" i="1"/>
  <c r="I586" i="1"/>
  <c r="K585" i="1"/>
  <c r="J585" i="1"/>
  <c r="I585" i="1"/>
  <c r="K584" i="1"/>
  <c r="J584" i="1"/>
  <c r="I584" i="1"/>
  <c r="K583" i="1"/>
  <c r="J583" i="1"/>
  <c r="I583" i="1"/>
  <c r="K582" i="1"/>
  <c r="J582" i="1"/>
  <c r="I582" i="1"/>
  <c r="K581" i="1"/>
  <c r="J581" i="1"/>
  <c r="I581" i="1"/>
  <c r="K580" i="1"/>
  <c r="J580" i="1"/>
  <c r="I580" i="1"/>
  <c r="K579" i="1"/>
  <c r="J579" i="1"/>
  <c r="I579" i="1"/>
  <c r="K578" i="1"/>
  <c r="J578" i="1"/>
  <c r="I578" i="1"/>
  <c r="K577" i="1"/>
  <c r="J577" i="1"/>
  <c r="I577" i="1"/>
  <c r="K576" i="1"/>
  <c r="J576" i="1"/>
  <c r="I576" i="1"/>
  <c r="K575" i="1"/>
  <c r="J575" i="1"/>
  <c r="I575" i="1"/>
  <c r="K574" i="1"/>
  <c r="J574" i="1"/>
  <c r="I574" i="1"/>
  <c r="K573" i="1"/>
  <c r="J573" i="1"/>
  <c r="I573" i="1"/>
  <c r="K572" i="1"/>
  <c r="J572" i="1"/>
  <c r="I572" i="1"/>
  <c r="K571" i="1"/>
  <c r="J571" i="1"/>
  <c r="I571" i="1"/>
  <c r="K570" i="1"/>
  <c r="J570" i="1"/>
  <c r="I570" i="1"/>
  <c r="K569" i="1"/>
  <c r="J569" i="1"/>
  <c r="I569" i="1"/>
  <c r="K568" i="1"/>
  <c r="J568" i="1"/>
  <c r="I568" i="1"/>
  <c r="K567" i="1"/>
  <c r="J567" i="1"/>
  <c r="I567" i="1"/>
  <c r="K566" i="1"/>
  <c r="J566" i="1"/>
  <c r="I566" i="1"/>
  <c r="K565" i="1"/>
  <c r="J565" i="1"/>
  <c r="I565" i="1"/>
  <c r="K564" i="1"/>
  <c r="J564" i="1"/>
  <c r="I564" i="1"/>
  <c r="K563" i="1"/>
  <c r="J563" i="1"/>
  <c r="I563" i="1"/>
  <c r="K562" i="1"/>
  <c r="J562" i="1"/>
  <c r="I562" i="1"/>
  <c r="K561" i="1"/>
  <c r="J561" i="1"/>
  <c r="I561" i="1"/>
  <c r="K560" i="1"/>
  <c r="J560" i="1"/>
  <c r="I560" i="1"/>
  <c r="K559" i="1"/>
  <c r="J559" i="1"/>
  <c r="I559" i="1"/>
  <c r="K558" i="1"/>
  <c r="J558" i="1"/>
  <c r="I558" i="1"/>
  <c r="K557" i="1"/>
  <c r="J557" i="1"/>
  <c r="I557" i="1"/>
  <c r="K556" i="1"/>
  <c r="J556" i="1"/>
  <c r="I556" i="1"/>
  <c r="K555" i="1"/>
  <c r="J555" i="1"/>
  <c r="I555" i="1"/>
  <c r="K554" i="1"/>
  <c r="J554" i="1"/>
  <c r="I554" i="1"/>
  <c r="K553" i="1"/>
  <c r="J553" i="1"/>
  <c r="I553" i="1"/>
  <c r="K552" i="1"/>
  <c r="J552" i="1"/>
  <c r="I552" i="1"/>
  <c r="K551" i="1"/>
  <c r="J551" i="1"/>
  <c r="I551" i="1"/>
  <c r="K550" i="1"/>
  <c r="J550" i="1"/>
  <c r="I550" i="1"/>
  <c r="K549" i="1"/>
  <c r="J549" i="1"/>
  <c r="I549" i="1"/>
  <c r="K548" i="1"/>
  <c r="J548" i="1"/>
  <c r="I548" i="1"/>
  <c r="K547" i="1"/>
  <c r="J547" i="1"/>
  <c r="I547" i="1"/>
  <c r="K546" i="1"/>
  <c r="J546" i="1"/>
  <c r="I546" i="1"/>
  <c r="K545" i="1"/>
  <c r="J545" i="1"/>
  <c r="I545" i="1"/>
  <c r="K544" i="1"/>
  <c r="J544" i="1"/>
  <c r="I544" i="1"/>
  <c r="K543" i="1"/>
  <c r="J543" i="1"/>
  <c r="I543" i="1"/>
  <c r="K542" i="1"/>
  <c r="J542" i="1"/>
  <c r="I542" i="1"/>
  <c r="K541" i="1"/>
  <c r="J541" i="1"/>
  <c r="I541" i="1"/>
  <c r="K540" i="1"/>
  <c r="J540" i="1"/>
  <c r="I540" i="1"/>
  <c r="K539" i="1"/>
  <c r="J539" i="1"/>
  <c r="I539" i="1"/>
  <c r="K538" i="1"/>
  <c r="J538" i="1"/>
  <c r="I538" i="1"/>
  <c r="K537" i="1"/>
  <c r="J537" i="1"/>
  <c r="I537" i="1"/>
  <c r="K536" i="1"/>
  <c r="J536" i="1"/>
  <c r="I536" i="1"/>
  <c r="K535" i="1"/>
  <c r="J535" i="1"/>
  <c r="I535" i="1"/>
  <c r="K534" i="1"/>
  <c r="J534" i="1"/>
  <c r="I534" i="1"/>
  <c r="K533" i="1"/>
  <c r="J533" i="1"/>
  <c r="I533" i="1"/>
  <c r="K532" i="1"/>
  <c r="J532" i="1"/>
  <c r="I532" i="1"/>
  <c r="K531" i="1"/>
  <c r="J531" i="1"/>
  <c r="I531" i="1"/>
  <c r="K530" i="1"/>
  <c r="J530" i="1"/>
  <c r="I530" i="1"/>
  <c r="K529" i="1"/>
  <c r="J529" i="1"/>
  <c r="I529" i="1"/>
  <c r="K528" i="1"/>
  <c r="J528" i="1"/>
  <c r="I528" i="1"/>
  <c r="K527" i="1"/>
  <c r="J527" i="1"/>
  <c r="I527" i="1"/>
  <c r="K526" i="1"/>
  <c r="J526" i="1"/>
  <c r="I526" i="1"/>
  <c r="K525" i="1"/>
  <c r="J525" i="1"/>
  <c r="I525" i="1"/>
  <c r="K524" i="1"/>
  <c r="J524" i="1"/>
  <c r="I524" i="1"/>
  <c r="K523" i="1"/>
  <c r="J523" i="1"/>
  <c r="I523" i="1"/>
  <c r="K522" i="1"/>
  <c r="J522" i="1"/>
  <c r="I522" i="1"/>
  <c r="K521" i="1"/>
  <c r="J521" i="1"/>
  <c r="I521" i="1"/>
  <c r="K520" i="1"/>
  <c r="J520" i="1"/>
  <c r="I520" i="1"/>
  <c r="K519" i="1"/>
  <c r="J519" i="1"/>
  <c r="I519" i="1"/>
  <c r="K518" i="1"/>
  <c r="J518" i="1"/>
  <c r="I518" i="1"/>
  <c r="K517" i="1"/>
  <c r="J517" i="1"/>
  <c r="I517" i="1"/>
  <c r="K516" i="1"/>
  <c r="J516" i="1"/>
  <c r="I516" i="1"/>
  <c r="K515" i="1"/>
  <c r="J515" i="1"/>
  <c r="I515" i="1"/>
  <c r="K514" i="1"/>
  <c r="J514" i="1"/>
  <c r="I514" i="1"/>
  <c r="K513" i="1"/>
  <c r="J513" i="1"/>
  <c r="I513" i="1"/>
  <c r="K512" i="1"/>
  <c r="J512" i="1"/>
  <c r="I512" i="1"/>
  <c r="K511" i="1"/>
  <c r="J511" i="1"/>
  <c r="I511" i="1"/>
  <c r="K510" i="1"/>
  <c r="J510" i="1"/>
  <c r="I510" i="1"/>
  <c r="K509" i="1"/>
  <c r="J509" i="1"/>
  <c r="I509" i="1"/>
  <c r="K508" i="1"/>
  <c r="J508" i="1"/>
  <c r="I508" i="1"/>
  <c r="K507" i="1"/>
  <c r="J507" i="1"/>
  <c r="I507" i="1"/>
  <c r="K506" i="1"/>
  <c r="J506" i="1"/>
  <c r="I506" i="1"/>
  <c r="K505" i="1"/>
  <c r="J505" i="1"/>
  <c r="I505" i="1"/>
  <c r="K504" i="1"/>
  <c r="J504" i="1"/>
  <c r="I504" i="1"/>
  <c r="K503" i="1"/>
  <c r="J503" i="1"/>
  <c r="I503" i="1"/>
  <c r="K502" i="1"/>
  <c r="J502" i="1"/>
  <c r="I502" i="1"/>
  <c r="K501" i="1"/>
  <c r="J501" i="1"/>
  <c r="I501" i="1"/>
  <c r="K500" i="1"/>
  <c r="J500" i="1"/>
  <c r="I500" i="1"/>
  <c r="K499" i="1"/>
  <c r="J499" i="1"/>
  <c r="I499" i="1"/>
  <c r="K498" i="1"/>
  <c r="J498" i="1"/>
  <c r="I498" i="1"/>
  <c r="K497" i="1"/>
  <c r="J497" i="1"/>
  <c r="I497" i="1"/>
  <c r="K496" i="1"/>
  <c r="J496" i="1"/>
  <c r="I496" i="1"/>
  <c r="K495" i="1"/>
  <c r="J495" i="1"/>
  <c r="I495" i="1"/>
  <c r="K494" i="1"/>
  <c r="J494" i="1"/>
  <c r="I494" i="1"/>
  <c r="K493" i="1"/>
  <c r="J493" i="1"/>
  <c r="I493" i="1"/>
  <c r="K492" i="1"/>
  <c r="J492" i="1"/>
  <c r="I492" i="1"/>
  <c r="K491" i="1"/>
  <c r="J491" i="1"/>
  <c r="I491" i="1"/>
  <c r="K490" i="1"/>
  <c r="J490" i="1"/>
  <c r="I490" i="1"/>
  <c r="K489" i="1"/>
  <c r="J489" i="1"/>
  <c r="I489" i="1"/>
  <c r="K488" i="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alcChain>
</file>

<file path=xl/sharedStrings.xml><?xml version="1.0" encoding="utf-8"?>
<sst xmlns="http://schemas.openxmlformats.org/spreadsheetml/2006/main" count="5089" uniqueCount="1393">
  <si>
    <t>Order_ID</t>
  </si>
  <si>
    <t>Order_Date</t>
  </si>
  <si>
    <t>Region</t>
  </si>
  <si>
    <t>Product</t>
  </si>
  <si>
    <t>Category</t>
  </si>
  <si>
    <t>Sales_Amount</t>
  </si>
  <si>
    <t>Profit</t>
  </si>
  <si>
    <t>Quantity</t>
  </si>
  <si>
    <t>ORD00001</t>
  </si>
  <si>
    <t>2025-08-19</t>
  </si>
  <si>
    <t>West</t>
  </si>
  <si>
    <t>Monitor</t>
  </si>
  <si>
    <t>Office Supplies</t>
  </si>
  <si>
    <t>ORD00002</t>
  </si>
  <si>
    <t>2025-08-28</t>
  </si>
  <si>
    <t>North</t>
  </si>
  <si>
    <t>Mobile</t>
  </si>
  <si>
    <t>Accessories</t>
  </si>
  <si>
    <t>ORD00003</t>
  </si>
  <si>
    <t>2025-04-06</t>
  </si>
  <si>
    <t>Keyboard</t>
  </si>
  <si>
    <t>Electronics</t>
  </si>
  <si>
    <t>ORD00004</t>
  </si>
  <si>
    <t>2025-07-18</t>
  </si>
  <si>
    <t>Printer</t>
  </si>
  <si>
    <t>ORD00005</t>
  </si>
  <si>
    <t>2025-09-19</t>
  </si>
  <si>
    <t>East</t>
  </si>
  <si>
    <t>Tablet</t>
  </si>
  <si>
    <t>ORD00006</t>
  </si>
  <si>
    <t>2025-06-24</t>
  </si>
  <si>
    <t>South</t>
  </si>
  <si>
    <t>Laptop</t>
  </si>
  <si>
    <t>ORD00007</t>
  </si>
  <si>
    <t>2025-10-04</t>
  </si>
  <si>
    <t>ORD00008</t>
  </si>
  <si>
    <t>2025-11-20</t>
  </si>
  <si>
    <t>ORD00009</t>
  </si>
  <si>
    <t>2025-05-28</t>
  </si>
  <si>
    <t>ORD00010</t>
  </si>
  <si>
    <t>2026-01-01</t>
  </si>
  <si>
    <t>ORD00011</t>
  </si>
  <si>
    <t>2025-08-08</t>
  </si>
  <si>
    <t>ORD00012</t>
  </si>
  <si>
    <t>2025-03-09</t>
  </si>
  <si>
    <t>ORD00013</t>
  </si>
  <si>
    <t>2025-10-06</t>
  </si>
  <si>
    <t>ORD00014</t>
  </si>
  <si>
    <t>2025-10-28</t>
  </si>
  <si>
    <t>ORD00015</t>
  </si>
  <si>
    <t>2025-06-01</t>
  </si>
  <si>
    <t>ORD00016</t>
  </si>
  <si>
    <t>2025-03-15</t>
  </si>
  <si>
    <t>ORD00017</t>
  </si>
  <si>
    <t>2025-01-26</t>
  </si>
  <si>
    <t>ORD00018</t>
  </si>
  <si>
    <t>2025-01-11</t>
  </si>
  <si>
    <t>ORD00019</t>
  </si>
  <si>
    <t>2025-03-27</t>
  </si>
  <si>
    <t>ORD00020</t>
  </si>
  <si>
    <t>2025-10-20</t>
  </si>
  <si>
    <t>ORD00021</t>
  </si>
  <si>
    <t>2025-01-08</t>
  </si>
  <si>
    <t>ORD00022</t>
  </si>
  <si>
    <t>2025-02-19</t>
  </si>
  <si>
    <t>ORD00023</t>
  </si>
  <si>
    <t>2025-01-17</t>
  </si>
  <si>
    <t>ORD00024</t>
  </si>
  <si>
    <t>2025-03-12</t>
  </si>
  <si>
    <t>ORD00025</t>
  </si>
  <si>
    <t>2025-10-23</t>
  </si>
  <si>
    <t>ORD00026</t>
  </si>
  <si>
    <t>2025-03-06</t>
  </si>
  <si>
    <t>ORD00027</t>
  </si>
  <si>
    <t>ORD00028</t>
  </si>
  <si>
    <t>2025-04-28</t>
  </si>
  <si>
    <t>ORD00029</t>
  </si>
  <si>
    <t>ORD00030</t>
  </si>
  <si>
    <t>2025-08-23</t>
  </si>
  <si>
    <t>ORD00031</t>
  </si>
  <si>
    <t>2025-06-14</t>
  </si>
  <si>
    <t>ORD00032</t>
  </si>
  <si>
    <t>2025-10-13</t>
  </si>
  <si>
    <t>ORD00033</t>
  </si>
  <si>
    <t>2025-12-30</t>
  </si>
  <si>
    <t>ORD00034</t>
  </si>
  <si>
    <t>2025-08-01</t>
  </si>
  <si>
    <t>ORD00035</t>
  </si>
  <si>
    <t>ORD00036</t>
  </si>
  <si>
    <t>2025-04-07</t>
  </si>
  <si>
    <t>ORD00037</t>
  </si>
  <si>
    <t>2025-06-21</t>
  </si>
  <si>
    <t>ORD00038</t>
  </si>
  <si>
    <t>2025-07-02</t>
  </si>
  <si>
    <t>ORD00039</t>
  </si>
  <si>
    <t>2025-02-08</t>
  </si>
  <si>
    <t>ORD00040</t>
  </si>
  <si>
    <t>2025-10-03</t>
  </si>
  <si>
    <t>ORD00041</t>
  </si>
  <si>
    <t>2025-07-05</t>
  </si>
  <si>
    <t>ORD00042</t>
  </si>
  <si>
    <t>2025-01-28</t>
  </si>
  <si>
    <t>ORD00043</t>
  </si>
  <si>
    <t>2025-12-15</t>
  </si>
  <si>
    <t>ORD00044</t>
  </si>
  <si>
    <t>2025-09-09</t>
  </si>
  <si>
    <t>ORD00045</t>
  </si>
  <si>
    <t>2025-09-23</t>
  </si>
  <si>
    <t>ORD00046</t>
  </si>
  <si>
    <t>2025-01-06</t>
  </si>
  <si>
    <t>ORD00047</t>
  </si>
  <si>
    <t>2025-10-30</t>
  </si>
  <si>
    <t>ORD00048</t>
  </si>
  <si>
    <t>2025-05-23</t>
  </si>
  <si>
    <t>ORD00049</t>
  </si>
  <si>
    <t>2025-05-27</t>
  </si>
  <si>
    <t>ORD00050</t>
  </si>
  <si>
    <t>2025-04-08</t>
  </si>
  <si>
    <t>ORD00051</t>
  </si>
  <si>
    <t>2025-10-12</t>
  </si>
  <si>
    <t>ORD00052</t>
  </si>
  <si>
    <t>2025-05-13</t>
  </si>
  <si>
    <t>ORD00053</t>
  </si>
  <si>
    <t>2025-02-05</t>
  </si>
  <si>
    <t>ORD00054</t>
  </si>
  <si>
    <t>2025-01-13</t>
  </si>
  <si>
    <t>ORD00055</t>
  </si>
  <si>
    <t>2025-06-28</t>
  </si>
  <si>
    <t>ORD00056</t>
  </si>
  <si>
    <t>ORD00057</t>
  </si>
  <si>
    <t>2025-08-21</t>
  </si>
  <si>
    <t>ORD00058</t>
  </si>
  <si>
    <t>2025-01-12</t>
  </si>
  <si>
    <t>ORD00059</t>
  </si>
  <si>
    <t>2025-11-15</t>
  </si>
  <si>
    <t>ORD00060</t>
  </si>
  <si>
    <t>2025-12-06</t>
  </si>
  <si>
    <t>ORD00061</t>
  </si>
  <si>
    <t>2025-09-26</t>
  </si>
  <si>
    <t>ORD00062</t>
  </si>
  <si>
    <t>2025-11-14</t>
  </si>
  <si>
    <t>ORD00063</t>
  </si>
  <si>
    <t>2025-09-21</t>
  </si>
  <si>
    <t>ORD00064</t>
  </si>
  <si>
    <t>2025-08-20</t>
  </si>
  <si>
    <t>ORD00065</t>
  </si>
  <si>
    <t>2025-08-13</t>
  </si>
  <si>
    <t>ORD00066</t>
  </si>
  <si>
    <t>2025-03-21</t>
  </si>
  <si>
    <t>ORD00067</t>
  </si>
  <si>
    <t>2025-09-06</t>
  </si>
  <si>
    <t>ORD00068</t>
  </si>
  <si>
    <t>ORD00069</t>
  </si>
  <si>
    <t>2025-03-11</t>
  </si>
  <si>
    <t>ORD00070</t>
  </si>
  <si>
    <t>2025-07-15</t>
  </si>
  <si>
    <t>ORD00071</t>
  </si>
  <si>
    <t>2025-12-25</t>
  </si>
  <si>
    <t>ORD00072</t>
  </si>
  <si>
    <t>ORD00073</t>
  </si>
  <si>
    <t>2025-03-19</t>
  </si>
  <si>
    <t>ORD00074</t>
  </si>
  <si>
    <t>2025-07-01</t>
  </si>
  <si>
    <t>ORD00075</t>
  </si>
  <si>
    <t>2025-04-10</t>
  </si>
  <si>
    <t>ORD00076</t>
  </si>
  <si>
    <t>2025-08-15</t>
  </si>
  <si>
    <t>ORD00077</t>
  </si>
  <si>
    <t>2025-08-04</t>
  </si>
  <si>
    <t>ORD00078</t>
  </si>
  <si>
    <t>ORD00079</t>
  </si>
  <si>
    <t>ORD00080</t>
  </si>
  <si>
    <t>2025-08-17</t>
  </si>
  <si>
    <t>ORD00081</t>
  </si>
  <si>
    <t>2025-05-09</t>
  </si>
  <si>
    <t>ORD00082</t>
  </si>
  <si>
    <t>2025-11-29</t>
  </si>
  <si>
    <t>ORD00083</t>
  </si>
  <si>
    <t>2025-01-27</t>
  </si>
  <si>
    <t>ORD00084</t>
  </si>
  <si>
    <t>2025-01-29</t>
  </si>
  <si>
    <t>ORD00085</t>
  </si>
  <si>
    <t>2025-01-19</t>
  </si>
  <si>
    <t>ORD00086</t>
  </si>
  <si>
    <t>ORD00087</t>
  </si>
  <si>
    <t>2025-06-04</t>
  </si>
  <si>
    <t>ORD00088</t>
  </si>
  <si>
    <t>2025-03-31</t>
  </si>
  <si>
    <t>ORD00089</t>
  </si>
  <si>
    <t>2025-05-26</t>
  </si>
  <si>
    <t>ORD00090</t>
  </si>
  <si>
    <t>2025-11-26</t>
  </si>
  <si>
    <t>ORD00091</t>
  </si>
  <si>
    <t>2025-07-30</t>
  </si>
  <si>
    <t>ORD00092</t>
  </si>
  <si>
    <t>2025-04-12</t>
  </si>
  <si>
    <t>ORD00093</t>
  </si>
  <si>
    <t>2025-02-14</t>
  </si>
  <si>
    <t>ORD00094</t>
  </si>
  <si>
    <t>2025-12-29</t>
  </si>
  <si>
    <t>ORD00095</t>
  </si>
  <si>
    <t>2025-09-15</t>
  </si>
  <si>
    <t>ORD00096</t>
  </si>
  <si>
    <t>ORD00097</t>
  </si>
  <si>
    <t>2025-12-03</t>
  </si>
  <si>
    <t>ORD00098</t>
  </si>
  <si>
    <t>ORD00099</t>
  </si>
  <si>
    <t>ORD00100</t>
  </si>
  <si>
    <t>2025-04-21</t>
  </si>
  <si>
    <t>ORD00101</t>
  </si>
  <si>
    <t>ORD00102</t>
  </si>
  <si>
    <t>2025-06-11</t>
  </si>
  <si>
    <t>ORD00103</t>
  </si>
  <si>
    <t>2025-11-09</t>
  </si>
  <si>
    <t>ORD00104</t>
  </si>
  <si>
    <t>2025-10-15</t>
  </si>
  <si>
    <t>ORD00105</t>
  </si>
  <si>
    <t>2025-07-09</t>
  </si>
  <si>
    <t>ORD00106</t>
  </si>
  <si>
    <t>2025-11-03</t>
  </si>
  <si>
    <t>ORD00107</t>
  </si>
  <si>
    <t>2025-06-09</t>
  </si>
  <si>
    <t>ORD00108</t>
  </si>
  <si>
    <t>2025-07-13</t>
  </si>
  <si>
    <t>ORD00109</t>
  </si>
  <si>
    <t>2025-02-01</t>
  </si>
  <si>
    <t>ORD00110</t>
  </si>
  <si>
    <t>ORD00111</t>
  </si>
  <si>
    <t>2025-05-07</t>
  </si>
  <si>
    <t>ORD00112</t>
  </si>
  <si>
    <t>2025-10-14</t>
  </si>
  <si>
    <t>ORD00113</t>
  </si>
  <si>
    <t>2025-12-09</t>
  </si>
  <si>
    <t>ORD00114</t>
  </si>
  <si>
    <t>2025-10-19</t>
  </si>
  <si>
    <t>ORD00115</t>
  </si>
  <si>
    <t>2025-07-03</t>
  </si>
  <si>
    <t>ORD00116</t>
  </si>
  <si>
    <t>2025-08-11</t>
  </si>
  <si>
    <t>ORD00117</t>
  </si>
  <si>
    <t>ORD00118</t>
  </si>
  <si>
    <t>2025-12-19</t>
  </si>
  <si>
    <t>ORD00119</t>
  </si>
  <si>
    <t>2025-04-04</t>
  </si>
  <si>
    <t>ORD00120</t>
  </si>
  <si>
    <t>ORD00121</t>
  </si>
  <si>
    <t>2025-02-23</t>
  </si>
  <si>
    <t>ORD00122</t>
  </si>
  <si>
    <t>2025-05-01</t>
  </si>
  <si>
    <t>ORD00123</t>
  </si>
  <si>
    <t>2025-02-25</t>
  </si>
  <si>
    <t>ORD00124</t>
  </si>
  <si>
    <t>ORD00125</t>
  </si>
  <si>
    <t>2025-06-22</t>
  </si>
  <si>
    <t>ORD00126</t>
  </si>
  <si>
    <t>ORD00127</t>
  </si>
  <si>
    <t>ORD00128</t>
  </si>
  <si>
    <t>2025-07-22</t>
  </si>
  <si>
    <t>ORD00129</t>
  </si>
  <si>
    <t>ORD00130</t>
  </si>
  <si>
    <t>2025-12-02</t>
  </si>
  <si>
    <t>ORD00131</t>
  </si>
  <si>
    <t>2025-06-30</t>
  </si>
  <si>
    <t>ORD00132</t>
  </si>
  <si>
    <t>ORD00133</t>
  </si>
  <si>
    <t>2025-10-31</t>
  </si>
  <si>
    <t>ORD00134</t>
  </si>
  <si>
    <t>ORD00135</t>
  </si>
  <si>
    <t>2025-06-26</t>
  </si>
  <si>
    <t>ORD00136</t>
  </si>
  <si>
    <t>ORD00137</t>
  </si>
  <si>
    <t>2025-05-20</t>
  </si>
  <si>
    <t>ORD00138</t>
  </si>
  <si>
    <t>2025-09-20</t>
  </si>
  <si>
    <t>ORD00139</t>
  </si>
  <si>
    <t>2025-08-12</t>
  </si>
  <si>
    <t>ORD00140</t>
  </si>
  <si>
    <t>2025-02-28</t>
  </si>
  <si>
    <t>ORD00141</t>
  </si>
  <si>
    <t>ORD00142</t>
  </si>
  <si>
    <t>ORD00143</t>
  </si>
  <si>
    <t>ORD00144</t>
  </si>
  <si>
    <t>2025-06-27</t>
  </si>
  <si>
    <t>ORD00145</t>
  </si>
  <si>
    <t>2025-10-09</t>
  </si>
  <si>
    <t>ORD00146</t>
  </si>
  <si>
    <t>2025-11-21</t>
  </si>
  <si>
    <t>ORD00147</t>
  </si>
  <si>
    <t>2025-09-03</t>
  </si>
  <si>
    <t>ORD00148</t>
  </si>
  <si>
    <t>2025-10-16</t>
  </si>
  <si>
    <t>ORD00149</t>
  </si>
  <si>
    <t>2025-07-23</t>
  </si>
  <si>
    <t>ORD00150</t>
  </si>
  <si>
    <t>2025-06-07</t>
  </si>
  <si>
    <t>ORD00151</t>
  </si>
  <si>
    <t>ORD00152</t>
  </si>
  <si>
    <t>2025-10-17</t>
  </si>
  <si>
    <t>ORD00153</t>
  </si>
  <si>
    <t>ORD00154</t>
  </si>
  <si>
    <t>2025-07-07</t>
  </si>
  <si>
    <t>ORD00155</t>
  </si>
  <si>
    <t>2025-10-26</t>
  </si>
  <si>
    <t>ORD00156</t>
  </si>
  <si>
    <t>ORD00157</t>
  </si>
  <si>
    <t>2025-01-30</t>
  </si>
  <si>
    <t>ORD00158</t>
  </si>
  <si>
    <t>2025-01-23</t>
  </si>
  <si>
    <t>ORD00159</t>
  </si>
  <si>
    <t>2025-09-10</t>
  </si>
  <si>
    <t>ORD00160</t>
  </si>
  <si>
    <t>2025-06-23</t>
  </si>
  <si>
    <t>ORD00161</t>
  </si>
  <si>
    <t>2025-06-05</t>
  </si>
  <si>
    <t>ORD00162</t>
  </si>
  <si>
    <t>2025-05-30</t>
  </si>
  <si>
    <t>ORD00163</t>
  </si>
  <si>
    <t>2025-07-04</t>
  </si>
  <si>
    <t>ORD00164</t>
  </si>
  <si>
    <t>2025-09-08</t>
  </si>
  <si>
    <t>ORD00165</t>
  </si>
  <si>
    <t>2025-09-28</t>
  </si>
  <si>
    <t>ORD00166</t>
  </si>
  <si>
    <t>2025-06-12</t>
  </si>
  <si>
    <t>ORD00167</t>
  </si>
  <si>
    <t>2025-12-08</t>
  </si>
  <si>
    <t>ORD00168</t>
  </si>
  <si>
    <t>2025-11-24</t>
  </si>
  <si>
    <t>ORD00169</t>
  </si>
  <si>
    <t>2025-05-17</t>
  </si>
  <si>
    <t>ORD00170</t>
  </si>
  <si>
    <t>ORD00171</t>
  </si>
  <si>
    <t>2025-04-17</t>
  </si>
  <si>
    <t>ORD00172</t>
  </si>
  <si>
    <t>ORD00173</t>
  </si>
  <si>
    <t>2025-09-25</t>
  </si>
  <si>
    <t>ORD00174</t>
  </si>
  <si>
    <t>2025-02-03</t>
  </si>
  <si>
    <t>ORD00175</t>
  </si>
  <si>
    <t>2025-09-07</t>
  </si>
  <si>
    <t>ORD00176</t>
  </si>
  <si>
    <t>2025-10-05</t>
  </si>
  <si>
    <t>ORD00177</t>
  </si>
  <si>
    <t>ORD00178</t>
  </si>
  <si>
    <t>2025-06-06</t>
  </si>
  <si>
    <t>ORD00179</t>
  </si>
  <si>
    <t>2025-12-23</t>
  </si>
  <si>
    <t>ORD00180</t>
  </si>
  <si>
    <t>2025-04-03</t>
  </si>
  <si>
    <t>ORD00181</t>
  </si>
  <si>
    <t>2025-03-03</t>
  </si>
  <si>
    <t>ORD00182</t>
  </si>
  <si>
    <t>ORD00183</t>
  </si>
  <si>
    <t>2025-05-18</t>
  </si>
  <si>
    <t>ORD00184</t>
  </si>
  <si>
    <t>2025-07-27</t>
  </si>
  <si>
    <t>ORD00185</t>
  </si>
  <si>
    <t>ORD00186</t>
  </si>
  <si>
    <t>2025-09-22</t>
  </si>
  <si>
    <t>ORD00187</t>
  </si>
  <si>
    <t>2025-02-12</t>
  </si>
  <si>
    <t>ORD00188</t>
  </si>
  <si>
    <t>2025-12-22</t>
  </si>
  <si>
    <t>ORD00189</t>
  </si>
  <si>
    <t>2025-04-14</t>
  </si>
  <si>
    <t>ORD00190</t>
  </si>
  <si>
    <t>2025-02-13</t>
  </si>
  <si>
    <t>ORD00191</t>
  </si>
  <si>
    <t>2025-06-20</t>
  </si>
  <si>
    <t>ORD00192</t>
  </si>
  <si>
    <t>2025-03-30</t>
  </si>
  <si>
    <t>ORD00193</t>
  </si>
  <si>
    <t>2025-08-14</t>
  </si>
  <si>
    <t>ORD00194</t>
  </si>
  <si>
    <t>ORD00195</t>
  </si>
  <si>
    <t>2025-10-21</t>
  </si>
  <si>
    <t>ORD00196</t>
  </si>
  <si>
    <t>2025-11-18</t>
  </si>
  <si>
    <t>ORD00197</t>
  </si>
  <si>
    <t>2025-03-16</t>
  </si>
  <si>
    <t>ORD00198</t>
  </si>
  <si>
    <t>ORD00199</t>
  </si>
  <si>
    <t>ORD00200</t>
  </si>
  <si>
    <t>ORD00201</t>
  </si>
  <si>
    <t>ORD00202</t>
  </si>
  <si>
    <t>2025-11-23</t>
  </si>
  <si>
    <t>ORD00203</t>
  </si>
  <si>
    <t>2025-07-08</t>
  </si>
  <si>
    <t>ORD00204</t>
  </si>
  <si>
    <t>ORD00205</t>
  </si>
  <si>
    <t>2025-01-10</t>
  </si>
  <si>
    <t>ORD00206</t>
  </si>
  <si>
    <t>2025-03-02</t>
  </si>
  <si>
    <t>ORD00207</t>
  </si>
  <si>
    <t>ORD00208</t>
  </si>
  <si>
    <t>2025-02-27</t>
  </si>
  <si>
    <t>ORD00209</t>
  </si>
  <si>
    <t>2025-04-13</t>
  </si>
  <si>
    <t>ORD00210</t>
  </si>
  <si>
    <t>2025-06-10</t>
  </si>
  <si>
    <t>ORD00211</t>
  </si>
  <si>
    <t>ORD00212</t>
  </si>
  <si>
    <t>2025-11-01</t>
  </si>
  <si>
    <t>ORD00213</t>
  </si>
  <si>
    <t>2025-12-11</t>
  </si>
  <si>
    <t>ORD00214</t>
  </si>
  <si>
    <t>2025-02-04</t>
  </si>
  <si>
    <t>ORD00215</t>
  </si>
  <si>
    <t>ORD00216</t>
  </si>
  <si>
    <t>ORD00217</t>
  </si>
  <si>
    <t>ORD00218</t>
  </si>
  <si>
    <t>2025-11-05</t>
  </si>
  <si>
    <t>ORD00219</t>
  </si>
  <si>
    <t>2025-04-29</t>
  </si>
  <si>
    <t>ORD00220</t>
  </si>
  <si>
    <t>ORD00221</t>
  </si>
  <si>
    <t>2025-09-12</t>
  </si>
  <si>
    <t>ORD00222</t>
  </si>
  <si>
    <t>2025-04-11</t>
  </si>
  <si>
    <t>ORD00223</t>
  </si>
  <si>
    <t>2025-11-02</t>
  </si>
  <si>
    <t>ORD00224</t>
  </si>
  <si>
    <t>2025-03-25</t>
  </si>
  <si>
    <t>ORD00225</t>
  </si>
  <si>
    <t>ORD00226</t>
  </si>
  <si>
    <t>ORD00227</t>
  </si>
  <si>
    <t>2025-02-10</t>
  </si>
  <si>
    <t>ORD00228</t>
  </si>
  <si>
    <t>ORD00229</t>
  </si>
  <si>
    <t>ORD00230</t>
  </si>
  <si>
    <t>ORD00231</t>
  </si>
  <si>
    <t>ORD00232</t>
  </si>
  <si>
    <t>ORD00233</t>
  </si>
  <si>
    <t>ORD00234</t>
  </si>
  <si>
    <t>ORD00235</t>
  </si>
  <si>
    <t>2025-06-16</t>
  </si>
  <si>
    <t>ORD00236</t>
  </si>
  <si>
    <t>2025-10-02</t>
  </si>
  <si>
    <t>ORD00237</t>
  </si>
  <si>
    <t>ORD00238</t>
  </si>
  <si>
    <t>2025-12-13</t>
  </si>
  <si>
    <t>ORD00239</t>
  </si>
  <si>
    <t>2025-10-29</t>
  </si>
  <si>
    <t>ORD00240</t>
  </si>
  <si>
    <t>2025-08-03</t>
  </si>
  <si>
    <t>ORD00241</t>
  </si>
  <si>
    <t>ORD00242</t>
  </si>
  <si>
    <t>2025-08-05</t>
  </si>
  <si>
    <t>ORD00243</t>
  </si>
  <si>
    <t>ORD00244</t>
  </si>
  <si>
    <t>2025-12-31</t>
  </si>
  <si>
    <t>ORD00245</t>
  </si>
  <si>
    <t>2025-12-12</t>
  </si>
  <si>
    <t>ORD00246</t>
  </si>
  <si>
    <t>ORD00247</t>
  </si>
  <si>
    <t>ORD00248</t>
  </si>
  <si>
    <t>2025-04-22</t>
  </si>
  <si>
    <t>ORD00249</t>
  </si>
  <si>
    <t>ORD00250</t>
  </si>
  <si>
    <t>ORD00251</t>
  </si>
  <si>
    <t>ORD00252</t>
  </si>
  <si>
    <t>ORD00253</t>
  </si>
  <si>
    <t>2025-08-24</t>
  </si>
  <si>
    <t>ORD00254</t>
  </si>
  <si>
    <t>2025-12-04</t>
  </si>
  <si>
    <t>ORD00255</t>
  </si>
  <si>
    <t>ORD00256</t>
  </si>
  <si>
    <t>ORD00257</t>
  </si>
  <si>
    <t>ORD00258</t>
  </si>
  <si>
    <t>ORD00259</t>
  </si>
  <si>
    <t>ORD00260</t>
  </si>
  <si>
    <t>ORD00261</t>
  </si>
  <si>
    <t>2025-08-02</t>
  </si>
  <si>
    <t>ORD00262</t>
  </si>
  <si>
    <t>ORD00263</t>
  </si>
  <si>
    <t>ORD00264</t>
  </si>
  <si>
    <t>2025-09-17</t>
  </si>
  <si>
    <t>ORD00265</t>
  </si>
  <si>
    <t>ORD00266</t>
  </si>
  <si>
    <t>2025-12-21</t>
  </si>
  <si>
    <t>ORD00267</t>
  </si>
  <si>
    <t>ORD00268</t>
  </si>
  <si>
    <t>ORD00269</t>
  </si>
  <si>
    <t>ORD00270</t>
  </si>
  <si>
    <t>2025-11-11</t>
  </si>
  <si>
    <t>ORD00271</t>
  </si>
  <si>
    <t>ORD00272</t>
  </si>
  <si>
    <t>ORD00273</t>
  </si>
  <si>
    <t>ORD00274</t>
  </si>
  <si>
    <t>ORD00275</t>
  </si>
  <si>
    <t>ORD00276</t>
  </si>
  <si>
    <t>2025-12-01</t>
  </si>
  <si>
    <t>ORD00277</t>
  </si>
  <si>
    <t>ORD00278</t>
  </si>
  <si>
    <t>2025-09-16</t>
  </si>
  <si>
    <t>ORD00279</t>
  </si>
  <si>
    <t>2025-01-09</t>
  </si>
  <si>
    <t>ORD00280</t>
  </si>
  <si>
    <t>ORD00281</t>
  </si>
  <si>
    <t>2025-04-15</t>
  </si>
  <si>
    <t>ORD00282</t>
  </si>
  <si>
    <t>ORD00283</t>
  </si>
  <si>
    <t>ORD00284</t>
  </si>
  <si>
    <t>2025-07-31</t>
  </si>
  <si>
    <t>ORD00285</t>
  </si>
  <si>
    <t>ORD00286</t>
  </si>
  <si>
    <t>ORD00287</t>
  </si>
  <si>
    <t>ORD00288</t>
  </si>
  <si>
    <t>2025-11-25</t>
  </si>
  <si>
    <t>ORD00289</t>
  </si>
  <si>
    <t>ORD00290</t>
  </si>
  <si>
    <t>ORD00291</t>
  </si>
  <si>
    <t>ORD00292</t>
  </si>
  <si>
    <t>ORD00293</t>
  </si>
  <si>
    <t>ORD00294</t>
  </si>
  <si>
    <t>ORD00295</t>
  </si>
  <si>
    <t>ORD00296</t>
  </si>
  <si>
    <t>2025-01-02</t>
  </si>
  <si>
    <t>ORD00297</t>
  </si>
  <si>
    <t>ORD00298</t>
  </si>
  <si>
    <t>2025-08-29</t>
  </si>
  <si>
    <t>ORD00299</t>
  </si>
  <si>
    <t>ORD00300</t>
  </si>
  <si>
    <t>2025-01-31</t>
  </si>
  <si>
    <t>ORD00301</t>
  </si>
  <si>
    <t>2025-05-10</t>
  </si>
  <si>
    <t>ORD00302</t>
  </si>
  <si>
    <t>2025-03-04</t>
  </si>
  <si>
    <t>ORD00303</t>
  </si>
  <si>
    <t>ORD00304</t>
  </si>
  <si>
    <t>ORD00305</t>
  </si>
  <si>
    <t>2025-03-22</t>
  </si>
  <si>
    <t>ORD00306</t>
  </si>
  <si>
    <t>2025-03-26</t>
  </si>
  <si>
    <t>ORD00307</t>
  </si>
  <si>
    <t>ORD00308</t>
  </si>
  <si>
    <t>ORD00309</t>
  </si>
  <si>
    <t>2025-09-29</t>
  </si>
  <si>
    <t>ORD00310</t>
  </si>
  <si>
    <t>2025-09-13</t>
  </si>
  <si>
    <t>ORD00311</t>
  </si>
  <si>
    <t>2025-01-24</t>
  </si>
  <si>
    <t>ORD00312</t>
  </si>
  <si>
    <t>2025-09-05</t>
  </si>
  <si>
    <t>ORD00313</t>
  </si>
  <si>
    <t>2025-11-08</t>
  </si>
  <si>
    <t>ORD00314</t>
  </si>
  <si>
    <t>ORD00315</t>
  </si>
  <si>
    <t>ORD00316</t>
  </si>
  <si>
    <t>2025-11-16</t>
  </si>
  <si>
    <t>ORD00317</t>
  </si>
  <si>
    <t>ORD00318</t>
  </si>
  <si>
    <t>ORD00319</t>
  </si>
  <si>
    <t>ORD00320</t>
  </si>
  <si>
    <t>2025-04-20</t>
  </si>
  <si>
    <t>ORD00321</t>
  </si>
  <si>
    <t>ORD00322</t>
  </si>
  <si>
    <t>ORD00323</t>
  </si>
  <si>
    <t>ORD00324</t>
  </si>
  <si>
    <t>2025-01-05</t>
  </si>
  <si>
    <t>ORD00325</t>
  </si>
  <si>
    <t>ORD00326</t>
  </si>
  <si>
    <t>ORD00327</t>
  </si>
  <si>
    <t>ORD00328</t>
  </si>
  <si>
    <t>2025-05-19</t>
  </si>
  <si>
    <t>ORD00329</t>
  </si>
  <si>
    <t>ORD00330</t>
  </si>
  <si>
    <t>2025-03-24</t>
  </si>
  <si>
    <t>ORD00331</t>
  </si>
  <si>
    <t>ORD00332</t>
  </si>
  <si>
    <t>2025-07-17</t>
  </si>
  <si>
    <t>ORD00333</t>
  </si>
  <si>
    <t>2025-03-07</t>
  </si>
  <si>
    <t>ORD00334</t>
  </si>
  <si>
    <t>ORD00335</t>
  </si>
  <si>
    <t>ORD00336</t>
  </si>
  <si>
    <t>2025-03-17</t>
  </si>
  <si>
    <t>ORD00337</t>
  </si>
  <si>
    <t>ORD00338</t>
  </si>
  <si>
    <t>ORD00339</t>
  </si>
  <si>
    <t>ORD00340</t>
  </si>
  <si>
    <t>2025-12-14</t>
  </si>
  <si>
    <t>ORD00341</t>
  </si>
  <si>
    <t>ORD00342</t>
  </si>
  <si>
    <t>ORD00343</t>
  </si>
  <si>
    <t>ORD00344</t>
  </si>
  <si>
    <t>ORD00345</t>
  </si>
  <si>
    <t>ORD00346</t>
  </si>
  <si>
    <t>ORD00347</t>
  </si>
  <si>
    <t>2025-11-30</t>
  </si>
  <si>
    <t>ORD00348</t>
  </si>
  <si>
    <t>ORD00349</t>
  </si>
  <si>
    <t>ORD00350</t>
  </si>
  <si>
    <t>ORD00351</t>
  </si>
  <si>
    <t>2025-02-24</t>
  </si>
  <si>
    <t>ORD00352</t>
  </si>
  <si>
    <t>ORD00353</t>
  </si>
  <si>
    <t>2025-03-20</t>
  </si>
  <si>
    <t>ORD00354</t>
  </si>
  <si>
    <t>2025-05-03</t>
  </si>
  <si>
    <t>ORD00355</t>
  </si>
  <si>
    <t>2025-06-29</t>
  </si>
  <si>
    <t>ORD00356</t>
  </si>
  <si>
    <t>ORD00357</t>
  </si>
  <si>
    <t>2025-10-07</t>
  </si>
  <si>
    <t>ORD00358</t>
  </si>
  <si>
    <t>ORD00359</t>
  </si>
  <si>
    <t>2025-03-13</t>
  </si>
  <si>
    <t>ORD00360</t>
  </si>
  <si>
    <t>ORD00361</t>
  </si>
  <si>
    <t>ORD00362</t>
  </si>
  <si>
    <t>ORD00363</t>
  </si>
  <si>
    <t>ORD00364</t>
  </si>
  <si>
    <t>2025-04-05</t>
  </si>
  <si>
    <t>ORD00365</t>
  </si>
  <si>
    <t>2025-11-12</t>
  </si>
  <si>
    <t>ORD00366</t>
  </si>
  <si>
    <t>ORD00367</t>
  </si>
  <si>
    <t>2025-01-03</t>
  </si>
  <si>
    <t>ORD00368</t>
  </si>
  <si>
    <t>ORD00369</t>
  </si>
  <si>
    <t>ORD00370</t>
  </si>
  <si>
    <t>2025-01-18</t>
  </si>
  <si>
    <t>ORD00371</t>
  </si>
  <si>
    <t>2025-08-22</t>
  </si>
  <si>
    <t>ORD00372</t>
  </si>
  <si>
    <t>ORD00373</t>
  </si>
  <si>
    <t>ORD00374</t>
  </si>
  <si>
    <t>2025-02-06</t>
  </si>
  <si>
    <t>ORD00375</t>
  </si>
  <si>
    <t>ORD00376</t>
  </si>
  <si>
    <t>ORD00377</t>
  </si>
  <si>
    <t>ORD00378</t>
  </si>
  <si>
    <t>ORD00379</t>
  </si>
  <si>
    <t>ORD00380</t>
  </si>
  <si>
    <t>ORD00381</t>
  </si>
  <si>
    <t>ORD00382</t>
  </si>
  <si>
    <t>ORD00383</t>
  </si>
  <si>
    <t>ORD00384</t>
  </si>
  <si>
    <t>ORD00385</t>
  </si>
  <si>
    <t>2025-10-10</t>
  </si>
  <si>
    <t>ORD00386</t>
  </si>
  <si>
    <t>ORD00387</t>
  </si>
  <si>
    <t>2025-06-17</t>
  </si>
  <si>
    <t>ORD00388</t>
  </si>
  <si>
    <t>2025-07-14</t>
  </si>
  <si>
    <t>ORD00389</t>
  </si>
  <si>
    <t>ORD00390</t>
  </si>
  <si>
    <t>ORD00391</t>
  </si>
  <si>
    <t>ORD00392</t>
  </si>
  <si>
    <t>2025-07-10</t>
  </si>
  <si>
    <t>ORD00393</t>
  </si>
  <si>
    <t>ORD00394</t>
  </si>
  <si>
    <t>ORD00395</t>
  </si>
  <si>
    <t>2025-01-15</t>
  </si>
  <si>
    <t>ORD00396</t>
  </si>
  <si>
    <t>ORD00397</t>
  </si>
  <si>
    <t>ORD00398</t>
  </si>
  <si>
    <t>2025-05-05</t>
  </si>
  <si>
    <t>ORD00399</t>
  </si>
  <si>
    <t>2025-10-25</t>
  </si>
  <si>
    <t>ORD00400</t>
  </si>
  <si>
    <t>2025-10-11</t>
  </si>
  <si>
    <t>ORD00401</t>
  </si>
  <si>
    <t>ORD00402</t>
  </si>
  <si>
    <t>ORD00403</t>
  </si>
  <si>
    <t>ORD00404</t>
  </si>
  <si>
    <t>ORD00405</t>
  </si>
  <si>
    <t>ORD00406</t>
  </si>
  <si>
    <t>2025-05-22</t>
  </si>
  <si>
    <t>ORD00407</t>
  </si>
  <si>
    <t>ORD00408</t>
  </si>
  <si>
    <t>ORD00409</t>
  </si>
  <si>
    <t>ORD00410</t>
  </si>
  <si>
    <t>2025-01-22</t>
  </si>
  <si>
    <t>ORD00411</t>
  </si>
  <si>
    <t>ORD00412</t>
  </si>
  <si>
    <t>ORD00413</t>
  </si>
  <si>
    <t>ORD00414</t>
  </si>
  <si>
    <t>ORD00415</t>
  </si>
  <si>
    <t>2025-05-15</t>
  </si>
  <si>
    <t>ORD00416</t>
  </si>
  <si>
    <t>2025-02-22</t>
  </si>
  <si>
    <t>ORD00417</t>
  </si>
  <si>
    <t>2025-12-27</t>
  </si>
  <si>
    <t>ORD00418</t>
  </si>
  <si>
    <t>2025-06-08</t>
  </si>
  <si>
    <t>ORD00419</t>
  </si>
  <si>
    <t>ORD00420</t>
  </si>
  <si>
    <t>ORD00421</t>
  </si>
  <si>
    <t>ORD00422</t>
  </si>
  <si>
    <t>ORD00423</t>
  </si>
  <si>
    <t>ORD00424</t>
  </si>
  <si>
    <t>2025-11-13</t>
  </si>
  <si>
    <t>ORD00425</t>
  </si>
  <si>
    <t>ORD00426</t>
  </si>
  <si>
    <t>2025-05-31</t>
  </si>
  <si>
    <t>ORD00427</t>
  </si>
  <si>
    <t>2025-04-25</t>
  </si>
  <si>
    <t>ORD00428</t>
  </si>
  <si>
    <t>ORD00429</t>
  </si>
  <si>
    <t>ORD00430</t>
  </si>
  <si>
    <t>ORD00431</t>
  </si>
  <si>
    <t>ORD00432</t>
  </si>
  <si>
    <t>2025-12-10</t>
  </si>
  <si>
    <t>ORD00433</t>
  </si>
  <si>
    <t>ORD00434</t>
  </si>
  <si>
    <t>2025-03-23</t>
  </si>
  <si>
    <t>ORD00435</t>
  </si>
  <si>
    <t>ORD00436</t>
  </si>
  <si>
    <t>ORD00437</t>
  </si>
  <si>
    <t>ORD00438</t>
  </si>
  <si>
    <t>ORD00439</t>
  </si>
  <si>
    <t>ORD00440</t>
  </si>
  <si>
    <t>ORD00441</t>
  </si>
  <si>
    <t>2025-02-21</t>
  </si>
  <si>
    <t>ORD00442</t>
  </si>
  <si>
    <t>2025-01-07</t>
  </si>
  <si>
    <t>ORD00443</t>
  </si>
  <si>
    <t>2025-09-24</t>
  </si>
  <si>
    <t>ORD00444</t>
  </si>
  <si>
    <t>ORD00445</t>
  </si>
  <si>
    <t>ORD00446</t>
  </si>
  <si>
    <t>ORD00447</t>
  </si>
  <si>
    <t>ORD00448</t>
  </si>
  <si>
    <t>ORD00449</t>
  </si>
  <si>
    <t>ORD00450</t>
  </si>
  <si>
    <t>ORD00451</t>
  </si>
  <si>
    <t>ORD00452</t>
  </si>
  <si>
    <t>ORD00453</t>
  </si>
  <si>
    <t>ORD00454</t>
  </si>
  <si>
    <t>2025-02-07</t>
  </si>
  <si>
    <t>ORD00455</t>
  </si>
  <si>
    <t>ORD00456</t>
  </si>
  <si>
    <t>2025-02-11</t>
  </si>
  <si>
    <t>ORD00457</t>
  </si>
  <si>
    <t>ORD00458</t>
  </si>
  <si>
    <t>ORD00459</t>
  </si>
  <si>
    <t>ORD00460</t>
  </si>
  <si>
    <t>ORD00461</t>
  </si>
  <si>
    <t>2025-04-02</t>
  </si>
  <si>
    <t>ORD00462</t>
  </si>
  <si>
    <t>2025-05-11</t>
  </si>
  <si>
    <t>ORD00463</t>
  </si>
  <si>
    <t>ORD00464</t>
  </si>
  <si>
    <t>2025-01-20</t>
  </si>
  <si>
    <t>ORD00465</t>
  </si>
  <si>
    <t>ORD00466</t>
  </si>
  <si>
    <t>ORD00467</t>
  </si>
  <si>
    <t>2025-02-20</t>
  </si>
  <si>
    <t>ORD00468</t>
  </si>
  <si>
    <t>ORD00469</t>
  </si>
  <si>
    <t>ORD00470</t>
  </si>
  <si>
    <t>ORD00471</t>
  </si>
  <si>
    <t>2025-05-21</t>
  </si>
  <si>
    <t>ORD00472</t>
  </si>
  <si>
    <t>ORD00473</t>
  </si>
  <si>
    <t>ORD00474</t>
  </si>
  <si>
    <t>2025-07-24</t>
  </si>
  <si>
    <t>ORD00475</t>
  </si>
  <si>
    <t>ORD00476</t>
  </si>
  <si>
    <t>2025-07-20</t>
  </si>
  <si>
    <t>ORD00477</t>
  </si>
  <si>
    <t>ORD00478</t>
  </si>
  <si>
    <t>2025-05-08</t>
  </si>
  <si>
    <t>ORD00479</t>
  </si>
  <si>
    <t>2025-10-24</t>
  </si>
  <si>
    <t>ORD00480</t>
  </si>
  <si>
    <t>2025-12-05</t>
  </si>
  <si>
    <t>ORD00481</t>
  </si>
  <si>
    <t>ORD00482</t>
  </si>
  <si>
    <t>ORD00483</t>
  </si>
  <si>
    <t>ORD00484</t>
  </si>
  <si>
    <t>ORD00485</t>
  </si>
  <si>
    <t>2025-07-12</t>
  </si>
  <si>
    <t>ORD00486</t>
  </si>
  <si>
    <t>2025-09-02</t>
  </si>
  <si>
    <t>ORD00487</t>
  </si>
  <si>
    <t>ORD00488</t>
  </si>
  <si>
    <t>ORD00489</t>
  </si>
  <si>
    <t>ORD00490</t>
  </si>
  <si>
    <t>ORD00491</t>
  </si>
  <si>
    <t>ORD00492</t>
  </si>
  <si>
    <t>2025-11-27</t>
  </si>
  <si>
    <t>ORD00493</t>
  </si>
  <si>
    <t>ORD00494</t>
  </si>
  <si>
    <t>ORD00495</t>
  </si>
  <si>
    <t>ORD00496</t>
  </si>
  <si>
    <t>ORD00497</t>
  </si>
  <si>
    <t>ORD00498</t>
  </si>
  <si>
    <t>2025-09-01</t>
  </si>
  <si>
    <t>ORD00499</t>
  </si>
  <si>
    <t>ORD00500</t>
  </si>
  <si>
    <t>2025-03-18</t>
  </si>
  <si>
    <t>ORD00501</t>
  </si>
  <si>
    <t>ORD00502</t>
  </si>
  <si>
    <t>ORD00503</t>
  </si>
  <si>
    <t>ORD00504</t>
  </si>
  <si>
    <t>ORD00505</t>
  </si>
  <si>
    <t>ORD00506</t>
  </si>
  <si>
    <t>2025-04-24</t>
  </si>
  <si>
    <t>ORD00507</t>
  </si>
  <si>
    <t>ORD00508</t>
  </si>
  <si>
    <t>2025-06-13</t>
  </si>
  <si>
    <t>ORD00509</t>
  </si>
  <si>
    <t>ORD00510</t>
  </si>
  <si>
    <t>ORD00511</t>
  </si>
  <si>
    <t>ORD00512</t>
  </si>
  <si>
    <t>ORD00513</t>
  </si>
  <si>
    <t>2025-05-02</t>
  </si>
  <si>
    <t>ORD00514</t>
  </si>
  <si>
    <t>ORD00515</t>
  </si>
  <si>
    <t>2025-06-19</t>
  </si>
  <si>
    <t>ORD00516</t>
  </si>
  <si>
    <t>ORD00517</t>
  </si>
  <si>
    <t>2025-08-31</t>
  </si>
  <si>
    <t>ORD00518</t>
  </si>
  <si>
    <t>2025-10-27</t>
  </si>
  <si>
    <t>ORD00519</t>
  </si>
  <si>
    <t>ORD00520</t>
  </si>
  <si>
    <t>ORD00521</t>
  </si>
  <si>
    <t>ORD00522</t>
  </si>
  <si>
    <t>2025-12-24</t>
  </si>
  <si>
    <t>ORD00523</t>
  </si>
  <si>
    <t>ORD00524</t>
  </si>
  <si>
    <t>2025-07-28</t>
  </si>
  <si>
    <t>ORD00525</t>
  </si>
  <si>
    <t>ORD00526</t>
  </si>
  <si>
    <t>ORD00527</t>
  </si>
  <si>
    <t>2025-06-25</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</si>
  <si>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</si>
  <si>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</si>
  <si>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</si>
  <si>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</si>
  <si>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</si>
  <si>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</si>
  <si>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</si>
  <si>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</si>
  <si>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</si>
  <si>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</si>
  <si>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</si>
  <si>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</si>
  <si>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</si>
  <si>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</si>
  <si>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</si>
  <si>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</si>
  <si>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</si>
  <si>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</si>
  <si>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</si>
  <si>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</si>
  <si>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</si>
  <si>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</si>
  <si>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</si>
  <si>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</si>
  <si>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</si>
  <si>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</si>
  <si>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</si>
  <si>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2025-12-26</t>
  </si>
  <si>
    <t>ORD00555</t>
  </si>
  <si>
    <t>ORD00556</t>
  </si>
  <si>
    <t>ORD00557</t>
  </si>
  <si>
    <t>ORD00558</t>
  </si>
  <si>
    <t>2025-09-04</t>
  </si>
  <si>
    <t>ORD00559</t>
  </si>
  <si>
    <t>ORD00560</t>
  </si>
  <si>
    <t>ORD00561</t>
  </si>
  <si>
    <t>ORD00562</t>
  </si>
  <si>
    <t>ORD00563</t>
  </si>
  <si>
    <t>ORD00564</t>
  </si>
  <si>
    <t>2025-03-14</t>
  </si>
  <si>
    <t>ORD00565</t>
  </si>
  <si>
    <t>ORD00566</t>
  </si>
  <si>
    <t>ORD00567</t>
  </si>
  <si>
    <t>ORD00568</t>
  </si>
  <si>
    <t>ORD00569</t>
  </si>
  <si>
    <t>ORD00570</t>
  </si>
  <si>
    <t>ORD00571</t>
  </si>
  <si>
    <t>ORD00572</t>
  </si>
  <si>
    <t>ORD00573</t>
  </si>
  <si>
    <t>2025-05-14</t>
  </si>
  <si>
    <t>ORD00574</t>
  </si>
  <si>
    <t>ORD00575</t>
  </si>
  <si>
    <t>ORD00576</t>
  </si>
  <si>
    <t>ORD00577</t>
  </si>
  <si>
    <t>2025-04-26</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</si>
  <si>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</si>
  <si>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</si>
  <si>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</si>
  <si>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</si>
  <si>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</si>
  <si>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</si>
  <si>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</si>
  <si>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</si>
  <si>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</si>
  <si>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</si>
  <si>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</si>
  <si>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</si>
  <si>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</si>
  <si>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</si>
  <si>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</si>
  <si>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</si>
  <si>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</si>
  <si>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</si>
  <si>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</si>
  <si>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</si>
  <si>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</si>
  <si>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</si>
  <si>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2025-07-19</t>
  </si>
  <si>
    <t>ORD00600</t>
  </si>
  <si>
    <t>ORD00601</t>
  </si>
  <si>
    <t>ORD00602</t>
  </si>
  <si>
    <t>2025-11-06</t>
  </si>
  <si>
    <t>ORD00603</t>
  </si>
  <si>
    <t>2025-10-18</t>
  </si>
  <si>
    <t>ORD00604</t>
  </si>
  <si>
    <t>ORD00605</t>
  </si>
  <si>
    <t>ORD00606</t>
  </si>
  <si>
    <t>ORD00607</t>
  </si>
  <si>
    <t>ORD00608</t>
  </si>
  <si>
    <t>ORD00609</t>
  </si>
  <si>
    <t>ORD00610</t>
  </si>
  <si>
    <t>2025-03-28</t>
  </si>
  <si>
    <t>ORD00611</t>
  </si>
  <si>
    <t>ORD00612</t>
  </si>
  <si>
    <t>ORD00613</t>
  </si>
  <si>
    <t>ORD00614</t>
  </si>
  <si>
    <t>2025-06-02</t>
  </si>
  <si>
    <t>ORD00615</t>
  </si>
  <si>
    <t>ORD00616</t>
  </si>
  <si>
    <t>2025-10-08</t>
  </si>
  <si>
    <t>ORD00617</t>
  </si>
  <si>
    <t>2025-04-09</t>
  </si>
  <si>
    <t>ORD00618</t>
  </si>
  <si>
    <t>ORD00619</t>
  </si>
  <si>
    <t>ORD00620</t>
  </si>
  <si>
    <t>ORD00621</t>
  </si>
  <si>
    <t>ORD00622</t>
  </si>
  <si>
    <t>2025-02-18</t>
  </si>
  <si>
    <t>ORD00623</t>
  </si>
  <si>
    <t>ORD00624</t>
  </si>
  <si>
    <t>ORD00625</t>
  </si>
  <si>
    <t>ORD00626</t>
  </si>
  <si>
    <t>ORD00627</t>
  </si>
  <si>
    <t>2025-02-17</t>
  </si>
  <si>
    <t>ORD00628</t>
  </si>
  <si>
    <t>ORD00629</t>
  </si>
  <si>
    <t>ORD00630</t>
  </si>
  <si>
    <t>ORD00631</t>
  </si>
  <si>
    <t>2025-01-14</t>
  </si>
  <si>
    <t>ORD00632</t>
  </si>
  <si>
    <t>2025-08-30</t>
  </si>
  <si>
    <t>ORD00633</t>
  </si>
  <si>
    <t>2025-08-07</t>
  </si>
  <si>
    <t>ORD00634</t>
  </si>
  <si>
    <t>ORD00635</t>
  </si>
  <si>
    <t>ORD00636</t>
  </si>
  <si>
    <t>ORD00637</t>
  </si>
  <si>
    <t>ORD00638</t>
  </si>
  <si>
    <t>ORD00639</t>
  </si>
  <si>
    <t>ORD00640</t>
  </si>
  <si>
    <t>ORD00641</t>
  </si>
  <si>
    <t>2025-12-17</t>
  </si>
  <si>
    <t>ORD00642</t>
  </si>
  <si>
    <t>ORD00643</t>
  </si>
  <si>
    <t>ORD00644</t>
  </si>
  <si>
    <t>ORD00645</t>
  </si>
  <si>
    <t>ORD00646</t>
  </si>
  <si>
    <t>2025-02-26</t>
  </si>
  <si>
    <t>ORD00647</t>
  </si>
  <si>
    <t>ORD00648</t>
  </si>
  <si>
    <t>ORD00649</t>
  </si>
  <si>
    <t>ORD00650</t>
  </si>
  <si>
    <t>ORD00651</t>
  </si>
  <si>
    <t>ORD00652</t>
  </si>
  <si>
    <t>ORD00653</t>
  </si>
  <si>
    <t>ORD00654</t>
  </si>
  <si>
    <t>ORD00655</t>
  </si>
  <si>
    <t>ORD00656</t>
  </si>
  <si>
    <t>ORD00657</t>
  </si>
  <si>
    <t>2025-04-27</t>
  </si>
  <si>
    <t>ORD00658</t>
  </si>
  <si>
    <t>ORD00659</t>
  </si>
  <si>
    <t>ORD00660</t>
  </si>
  <si>
    <t>ORD00661</t>
  </si>
  <si>
    <t>ORD00662</t>
  </si>
  <si>
    <t>2025-01-01</t>
  </si>
  <si>
    <t>ORD00663</t>
  </si>
  <si>
    <t>ORD00664</t>
  </si>
  <si>
    <t>ORD00665</t>
  </si>
  <si>
    <t>2025-05-12</t>
  </si>
  <si>
    <t>ORD00666</t>
  </si>
  <si>
    <t>ORD00667</t>
  </si>
  <si>
    <t>ORD00668</t>
  </si>
  <si>
    <t>ORD00669</t>
  </si>
  <si>
    <t>2025-07-06</t>
  </si>
  <si>
    <t>ORD00670</t>
  </si>
  <si>
    <t>ORD00671</t>
  </si>
  <si>
    <t>ORD00672</t>
  </si>
  <si>
    <t>ORD00673</t>
  </si>
  <si>
    <t>ORD00674</t>
  </si>
  <si>
    <t>ORD00675</t>
  </si>
  <si>
    <t>2025-04-30</t>
  </si>
  <si>
    <t>ORD00676</t>
  </si>
  <si>
    <t>ORD00677</t>
  </si>
  <si>
    <t>ORD00678</t>
  </si>
  <si>
    <t>ORD00679</t>
  </si>
  <si>
    <t>ORD00680</t>
  </si>
  <si>
    <t>2025-04-18</t>
  </si>
  <si>
    <t>ORD00681</t>
  </si>
  <si>
    <t>ORD00682</t>
  </si>
  <si>
    <t>ORD00683</t>
  </si>
  <si>
    <t>ORD00684</t>
  </si>
  <si>
    <t>ORD00685</t>
  </si>
  <si>
    <t>ORD00686</t>
  </si>
  <si>
    <t>ORD00687</t>
  </si>
  <si>
    <t>ORD00688</t>
  </si>
  <si>
    <t>ORD00689</t>
  </si>
  <si>
    <t>ORD00690</t>
  </si>
  <si>
    <t>ORD00691</t>
  </si>
  <si>
    <t>ORD00692</t>
  </si>
  <si>
    <t>ORD00693</t>
  </si>
  <si>
    <t>2025-08-09</t>
  </si>
  <si>
    <t>ORD00694</t>
  </si>
  <si>
    <t>ORD00695</t>
  </si>
  <si>
    <t>ORD00696</t>
  </si>
  <si>
    <t>ORD00697</t>
  </si>
  <si>
    <t>ORD00698</t>
  </si>
  <si>
    <t>2025-09-11</t>
  </si>
  <si>
    <t>ORD00699</t>
  </si>
  <si>
    <t>ORD00700</t>
  </si>
  <si>
    <t>ORD00701</t>
  </si>
  <si>
    <t>ORD00702</t>
  </si>
  <si>
    <t>2025-07-26</t>
  </si>
  <si>
    <t>ORD00703</t>
  </si>
  <si>
    <t>ORD00704</t>
  </si>
  <si>
    <t>ORD00705</t>
  </si>
  <si>
    <t>ORD00706</t>
  </si>
  <si>
    <t>ORD00707</t>
  </si>
  <si>
    <t>ORD00708</t>
  </si>
  <si>
    <t>ORD00709</t>
  </si>
  <si>
    <t>ORD00710</t>
  </si>
  <si>
    <t>ORD00711</t>
  </si>
  <si>
    <t>ORD00712</t>
  </si>
  <si>
    <t>ORD00713</t>
  </si>
  <si>
    <t>ORD00714</t>
  </si>
  <si>
    <t>ORD00715</t>
  </si>
  <si>
    <t>ORD00716</t>
  </si>
  <si>
    <t>2025-10-22</t>
  </si>
  <si>
    <t>ORD00717</t>
  </si>
  <si>
    <t>ORD00718</t>
  </si>
  <si>
    <t>ORD00719</t>
  </si>
  <si>
    <t>ORD00720</t>
  </si>
  <si>
    <t>ORD00721</t>
  </si>
  <si>
    <t>ORD00722</t>
  </si>
  <si>
    <t>ORD00723</t>
  </si>
  <si>
    <t>ORD00724</t>
  </si>
  <si>
    <t>ORD00725</t>
  </si>
  <si>
    <t>2025-09-27</t>
  </si>
  <si>
    <t>ORD00726</t>
  </si>
  <si>
    <t>ORD00727</t>
  </si>
  <si>
    <t>ORD00728</t>
  </si>
  <si>
    <t>ORD00729</t>
  </si>
  <si>
    <t>ORD00730</t>
  </si>
  <si>
    <t>ORD00731</t>
  </si>
  <si>
    <t>2025-01-21</t>
  </si>
  <si>
    <t>ORD00732</t>
  </si>
  <si>
    <t>ORD00733</t>
  </si>
  <si>
    <t>ORD00734</t>
  </si>
  <si>
    <t>ORD00735</t>
  </si>
  <si>
    <t>2025-07-29</t>
  </si>
  <si>
    <t>ORD00736</t>
  </si>
  <si>
    <t>2025-07-16</t>
  </si>
  <si>
    <t>ORD00737</t>
  </si>
  <si>
    <t>ORD00738</t>
  </si>
  <si>
    <t>ORD00739</t>
  </si>
  <si>
    <t>ORD00740</t>
  </si>
  <si>
    <t>ORD00741</t>
  </si>
  <si>
    <t>ORD00742</t>
  </si>
  <si>
    <t>ORD00743</t>
  </si>
  <si>
    <t>ORD00744</t>
  </si>
  <si>
    <t>ORD00745</t>
  </si>
  <si>
    <t>2025-04-23</t>
  </si>
  <si>
    <t>ORD00746</t>
  </si>
  <si>
    <t>ORD00747</t>
  </si>
  <si>
    <t>ORD00748</t>
  </si>
  <si>
    <t>2025-12-16</t>
  </si>
  <si>
    <t>ORD00749</t>
  </si>
  <si>
    <t>ORD00750</t>
  </si>
  <si>
    <t>ORD00751</t>
  </si>
  <si>
    <t>ORD00752</t>
  </si>
  <si>
    <t>ORD00753</t>
  </si>
  <si>
    <t>ORD00754</t>
  </si>
  <si>
    <t>ORD00755</t>
  </si>
  <si>
    <t>2025-01-25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</si>
  <si>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</si>
  <si>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</si>
  <si>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</si>
  <si>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</si>
  <si>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</si>
  <si>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</si>
  <si>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</si>
  <si>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</si>
  <si>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</si>
  <si>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</si>
  <si>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</si>
  <si>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</si>
  <si>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</si>
  <si>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</si>
  <si>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</si>
  <si>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</si>
  <si>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</si>
  <si>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</si>
  <si>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</si>
  <si>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</si>
  <si>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2025-11-17</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</si>
  <si>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</si>
  <si>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</si>
  <si>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</si>
  <si>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</si>
  <si>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</si>
  <si>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</si>
  <si>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</si>
  <si>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</si>
  <si>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</si>
  <si>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</si>
  <si>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</si>
  <si>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</si>
  <si>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</si>
  <si>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</si>
  <si>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</si>
  <si>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</si>
  <si>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</si>
  <si>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</si>
  <si>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</si>
  <si>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</si>
  <si>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2025-01-04</t>
  </si>
  <si>
    <t>ORD00796</t>
  </si>
  <si>
    <t>ORD00797</t>
  </si>
  <si>
    <t>ORD00798</t>
  </si>
  <si>
    <t>ORD00799</t>
  </si>
  <si>
    <t>2025-11-10</t>
  </si>
  <si>
    <t>ORD00800</t>
  </si>
  <si>
    <t>ORD00801</t>
  </si>
  <si>
    <t>ORD00802</t>
  </si>
  <si>
    <t>ORD00803</t>
  </si>
  <si>
    <t>2025-02-09</t>
  </si>
  <si>
    <t>ORD00804</t>
  </si>
  <si>
    <t>ORD00805</t>
  </si>
  <si>
    <t>2025-08-16</t>
  </si>
  <si>
    <t>ORD00806</t>
  </si>
  <si>
    <t>ORD00807</t>
  </si>
  <si>
    <t>ORD00808</t>
  </si>
  <si>
    <t>ORD00809</t>
  </si>
  <si>
    <t>ORD00810</t>
  </si>
  <si>
    <t>ORD00811</t>
  </si>
  <si>
    <t>ORD00812</t>
  </si>
  <si>
    <t>ORD00813</t>
  </si>
  <si>
    <t>ORD00814</t>
  </si>
  <si>
    <t>ORD00815</t>
  </si>
  <si>
    <t>ORD00816</t>
  </si>
  <si>
    <t>ORD00817</t>
  </si>
  <si>
    <t>ORD00818</t>
  </si>
  <si>
    <t>ORD00819</t>
  </si>
  <si>
    <t>ORD00820</t>
  </si>
  <si>
    <t>2025-09-14</t>
  </si>
  <si>
    <t>ORD00821</t>
  </si>
  <si>
    <t>ORD00822</t>
  </si>
  <si>
    <t>ORD00823</t>
  </si>
  <si>
    <t>2025-08-18</t>
  </si>
  <si>
    <t>ORD00824</t>
  </si>
  <si>
    <t>ORD00825</t>
  </si>
  <si>
    <t>ORD00826</t>
  </si>
  <si>
    <t>ORD00827</t>
  </si>
  <si>
    <t>ORD00828</t>
  </si>
  <si>
    <t>ORD00829</t>
  </si>
  <si>
    <t>ORD00830</t>
  </si>
  <si>
    <t>ORD00831</t>
  </si>
  <si>
    <t>ORD00832</t>
  </si>
  <si>
    <t>ORD00833</t>
  </si>
  <si>
    <t>ORD00834</t>
  </si>
  <si>
    <t>ORD00835</t>
  </si>
  <si>
    <t>ORD00836</t>
  </si>
  <si>
    <t>2025-11-28</t>
  </si>
  <si>
    <t>ORD00837</t>
  </si>
  <si>
    <t>ORD00838</t>
  </si>
  <si>
    <t>ORD00839</t>
  </si>
  <si>
    <t>ORD00840</t>
  </si>
  <si>
    <t>ORD00841</t>
  </si>
  <si>
    <t>ORD00842</t>
  </si>
  <si>
    <t>ORD00843</t>
  </si>
  <si>
    <t>ORD00844</t>
  </si>
  <si>
    <t>ORD00845</t>
  </si>
  <si>
    <t>ORD00846</t>
  </si>
  <si>
    <t>ORD00847</t>
  </si>
  <si>
    <t>2025-04-01</t>
  </si>
  <si>
    <t>ORD00848</t>
  </si>
  <si>
    <t>2025-05-06</t>
  </si>
  <si>
    <t>ORD00849</t>
  </si>
  <si>
    <t>ORD00850</t>
  </si>
  <si>
    <t>2025-03-10</t>
  </si>
  <si>
    <t>ORD00851</t>
  </si>
  <si>
    <t>ORD00852</t>
  </si>
  <si>
    <t>ORD00853</t>
  </si>
  <si>
    <t>ORD00854</t>
  </si>
  <si>
    <t>ORD00855</t>
  </si>
  <si>
    <t>ORD00856</t>
  </si>
  <si>
    <t>ORD00857</t>
  </si>
  <si>
    <t>ORD00858</t>
  </si>
  <si>
    <t>ORD00859</t>
  </si>
  <si>
    <t>ORD00860</t>
  </si>
  <si>
    <t>ORD00861</t>
  </si>
  <si>
    <t>ORD00862</t>
  </si>
  <si>
    <t>ORD00863</t>
  </si>
  <si>
    <t>ORD00864</t>
  </si>
  <si>
    <t>2025-04-19</t>
  </si>
  <si>
    <t>ORD00865</t>
  </si>
  <si>
    <t>2025-02-16</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</si>
  <si>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</si>
  <si>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</si>
  <si>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</si>
  <si>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</si>
  <si>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</si>
  <si>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</si>
  <si>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</si>
  <si>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</si>
  <si>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</si>
  <si>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</si>
  <si>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</si>
  <si>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</si>
  <si>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</si>
  <si>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</si>
  <si>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</si>
  <si>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</si>
  <si>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</si>
  <si>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</si>
  <si>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</si>
  <si>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</si>
  <si>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</si>
  <si>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</si>
  <si>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</si>
  <si>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</si>
  <si>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</si>
  <si>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</si>
  <si>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</si>
  <si>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</si>
  <si>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</si>
  <si>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</si>
  <si>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</si>
  <si>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</si>
  <si>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</si>
  <si>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</si>
  <si>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</si>
  <si>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</si>
  <si>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</si>
  <si>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</si>
  <si>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</si>
  <si>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</si>
  <si>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</si>
  <si>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</si>
  <si>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</si>
  <si>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</si>
  <si>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2025-08-27</t>
  </si>
  <si>
    <t>ORD00910</t>
  </si>
  <si>
    <t>2025-04-16</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</si>
  <si>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</si>
  <si>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</si>
  <si>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</si>
  <si>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</si>
  <si>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</si>
  <si>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</si>
  <si>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</si>
  <si>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</si>
  <si>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</si>
  <si>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</si>
  <si>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</si>
  <si>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</si>
  <si>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</si>
  <si>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</si>
  <si>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</si>
  <si>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</si>
  <si>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</si>
  <si>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</si>
  <si>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</si>
  <si>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</si>
  <si>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</si>
  <si>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</si>
  <si>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</si>
  <si>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</si>
  <si>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</si>
  <si>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</si>
  <si>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</si>
  <si>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</si>
  <si>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</si>
  <si>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</si>
  <si>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2025-11-04</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</si>
  <si>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</si>
  <si>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</si>
  <si>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</si>
  <si>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</si>
  <si>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</si>
  <si>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</si>
  <si>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</si>
  <si>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</si>
  <si>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</si>
  <si>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</si>
  <si>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</si>
  <si>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</si>
  <si>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</si>
  <si>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</si>
  <si>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</si>
  <si>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</si>
  <si>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</si>
  <si>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</si>
  <si>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</si>
  <si>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</si>
  <si>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</si>
  <si>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</si>
  <si>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</si>
  <si>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2025-06-15</t>
  </si>
  <si>
    <t>ORD00964</t>
  </si>
  <si>
    <t>ORD00965</t>
  </si>
  <si>
    <t>2025-03-05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</si>
  <si>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</si>
  <si>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</si>
  <si>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</si>
  <si>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</si>
  <si>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</si>
  <si>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</si>
  <si>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</si>
  <si>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</si>
  <si>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</si>
  <si>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</si>
  <si>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</si>
  <si>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</si>
  <si>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</si>
  <si>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</si>
  <si>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</si>
  <si>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</si>
  <si>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</si>
  <si>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</si>
  <si>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</si>
  <si>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</si>
  <si>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2025-06-03</t>
  </si>
  <si>
    <t>ORD00986</t>
  </si>
  <si>
    <t>ORD00987</t>
  </si>
  <si>
    <t>ORD00988</t>
  </si>
  <si>
    <t>ORD00989</t>
  </si>
  <si>
    <t>ORD00990</t>
  </si>
  <si>
    <t>ORD00991</t>
  </si>
  <si>
    <t>ORD00992</t>
  </si>
  <si>
    <t>ORD00993</t>
  </si>
  <si>
    <t>ORD00994</t>
  </si>
  <si>
    <t>ORD00995</t>
  </si>
  <si>
    <t>ORD00996</t>
  </si>
  <si>
    <t>ORD00997</t>
  </si>
  <si>
    <t>ORD00998</t>
  </si>
  <si>
    <t>ORD00999</t>
  </si>
  <si>
    <t>ORD01000</t>
  </si>
  <si>
    <t xml:space="preserve"> </t>
  </si>
  <si>
    <t>Row Labels</t>
  </si>
  <si>
    <t>Grand Total</t>
  </si>
  <si>
    <t>Months</t>
  </si>
  <si>
    <t>Average Margin Profit</t>
  </si>
  <si>
    <t>Count of Category</t>
  </si>
  <si>
    <t>Count of Months</t>
  </si>
  <si>
    <t>Total Sales Amount</t>
  </si>
  <si>
    <t>Sum of Profit</t>
  </si>
  <si>
    <t>Total Profit</t>
  </si>
  <si>
    <t>Cost Margin</t>
  </si>
  <si>
    <t>Region by Average Margin Profit</t>
  </si>
  <si>
    <t xml:space="preserve">Product </t>
  </si>
  <si>
    <t xml:space="preserve">Monthly </t>
  </si>
  <si>
    <t>March</t>
  </si>
  <si>
    <t xml:space="preserve">Month wise product </t>
  </si>
  <si>
    <t>Sum of Sales_Amount</t>
  </si>
  <si>
    <t>Sum of Quantity</t>
  </si>
  <si>
    <t>Profit Margin</t>
  </si>
  <si>
    <t>Products</t>
  </si>
  <si>
    <t>Month Wise sales</t>
  </si>
  <si>
    <t>Region Wise</t>
  </si>
  <si>
    <t>Margins</t>
  </si>
  <si>
    <t>Total Qty. Sold</t>
  </si>
  <si>
    <t>April</t>
  </si>
  <si>
    <t>May</t>
  </si>
  <si>
    <t>June</t>
  </si>
  <si>
    <t>July</t>
  </si>
  <si>
    <t>August</t>
  </si>
  <si>
    <t>September</t>
  </si>
  <si>
    <t>October</t>
  </si>
  <si>
    <t>November</t>
  </si>
  <si>
    <t>December</t>
  </si>
  <si>
    <t>January</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</si>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</sst>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2"/>
      <color theme="1" tint="4.9989318521683403E-2"/>
      <name val="Calibri"/>
      <family val="2"/>
    </font>
    <font>
      <b/>
      <sz val="11"/>
      <color theme="1"/>
      <name val="Calibri"/>
      <family val="2"/>
      <scheme val="minor"/>
    </font>
    <font>
      <b/>
      <sz val="12"/>
      <color theme="0"/>
      <name val="Calibri"/>
      <family val="2"/>
    </font>
    <font>
      <sz val="11"/>
      <color theme="4" tint="0.39997558519241921"/>
      <name val="Calibri"/>
      <family val="2"/>
      <scheme val="minor"/>
    </font>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xf>
    <xf numFmtId="0" fontId="0" fillId="0" borderId="1" xfId="0" applyBorder="1"/>
    <xf numFmtId="14" fontId="1" fillId="2" borderId="1" xfId="0" applyNumberFormat="1" applyFont="1" applyFill="1" applyBorder="1" applyAlignment="1">
      <alignment horizontal="center"/>
    </xf>
    <xf numFmtId="14" fontId="0" fillId="0" borderId="1" xfId="0" applyNumberFormat="1" applyBorder="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10" fontId="0" fillId="0" borderId="1" xfId="0" applyNumberFormat="1" applyBorder="1"/>
    <xf numFmtId="0" fontId="2" fillId="0" borderId="0" xfId="0" applyFont="1"/>
    <xf numFmtId="0" fontId="3" fillId="2" borderId="2" xfId="0" applyFont="1" applyFill="1" applyBorder="1" applyAlignment="1">
      <alignment horizontal="center"/>
    </xf>
    <xf numFmtId="0" fontId="4" fillId="0" borderId="0" xfId="0" applyFont="1"/>
    <xf numFmtId="164" fontId="5" fillId="0" borderId="0" xfId="0" applyNumberFormat="1" applyFont="1"/>
    <xf numFmtId="10" fontId="5" fillId="0" borderId="0" xfId="0" applyNumberFormat="1" applyFont="1"/>
    <xf numFmtId="0" fontId="0" fillId="0" borderId="0" xfId="0" pivotButton="1" applyAlignment="1">
      <alignment horizontal="center"/>
    </xf>
    <xf numFmtId="0" fontId="0" fillId="0" borderId="0" xfId="0" applyAlignment="1">
      <alignment horizontal="center"/>
    </xf>
    <xf numFmtId="0" fontId="2" fillId="0" borderId="0" xfId="0" applyFont="1"/>
    <xf numFmtId="0" fontId="0" fillId="0" borderId="0" xfId="0" applyNumberFormat="1"/>
  </cellXfs>
  <cellStyles count="1">
    <cellStyle name="Normal" xfId="0" builtinId="0"/>
  </cellStyles>
  <dxfs count="44">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font>
        <sz val="12"/>
      </font>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9311715017932"/>
          <c:y val="0.26607859501433284"/>
          <c:w val="0.44930458489780523"/>
          <c:h val="0.34297035451213764"/>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Keyboard</c:v>
                </c:pt>
                <c:pt idx="1">
                  <c:v>Laptop</c:v>
                </c:pt>
                <c:pt idx="2">
                  <c:v>Mobile</c:v>
                </c:pt>
                <c:pt idx="3">
                  <c:v>Monitor</c:v>
                </c:pt>
                <c:pt idx="4">
                  <c:v>Printer</c:v>
                </c:pt>
                <c:pt idx="5">
                  <c:v>Tablet</c:v>
                </c:pt>
              </c:strCache>
            </c:strRef>
          </c:cat>
          <c:val>
            <c:numRef>
              <c:f>'Pivot table'!$B$4:$B$10</c:f>
              <c:numCache>
                <c:formatCode>General</c:formatCode>
                <c:ptCount val="6"/>
                <c:pt idx="0">
                  <c:v>4089997.03</c:v>
                </c:pt>
                <c:pt idx="1">
                  <c:v>4547858.1700000009</c:v>
                </c:pt>
                <c:pt idx="2">
                  <c:v>4450278.0700000012</c:v>
                </c:pt>
                <c:pt idx="3">
                  <c:v>4063658.6900000018</c:v>
                </c:pt>
                <c:pt idx="4">
                  <c:v>3922528.3000000017</c:v>
                </c:pt>
                <c:pt idx="5">
                  <c:v>4363905.41</c:v>
                </c:pt>
              </c:numCache>
            </c:numRef>
          </c:val>
          <c:extLst>
            <c:ext xmlns:c16="http://schemas.microsoft.com/office/drawing/2014/chart" uri="{C3380CC4-5D6E-409C-BE32-E72D297353CC}">
              <c16:uniqueId val="{00000000-B15D-4503-9834-1AAD66498114}"/>
            </c:ext>
          </c:extLst>
        </c:ser>
        <c:dLbls>
          <c:showLegendKey val="0"/>
          <c:showVal val="0"/>
          <c:showCatName val="0"/>
          <c:showSerName val="0"/>
          <c:showPercent val="0"/>
          <c:showBubbleSize val="0"/>
        </c:dLbls>
        <c:gapWidth val="219"/>
        <c:axId val="297061711"/>
        <c:axId val="297050063"/>
      </c:barChart>
      <c:catAx>
        <c:axId val="2970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50063"/>
        <c:crosses val="autoZero"/>
        <c:auto val="1"/>
        <c:lblAlgn val="ctr"/>
        <c:lblOffset val="100"/>
        <c:noMultiLvlLbl val="0"/>
      </c:catAx>
      <c:valAx>
        <c:axId val="29705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07095411956192"/>
          <c:y val="0.38768081073199173"/>
          <c:w val="0.46523028196894384"/>
          <c:h val="0.3975204141149022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13.091938859651099</c:v>
                </c:pt>
                <c:pt idx="1">
                  <c:v>7.6910268782775013</c:v>
                </c:pt>
                <c:pt idx="2">
                  <c:v>10.625208144300043</c:v>
                </c:pt>
                <c:pt idx="3">
                  <c:v>8.3014448467247721</c:v>
                </c:pt>
              </c:numCache>
            </c:numRef>
          </c:val>
          <c:extLst>
            <c:ext xmlns:c16="http://schemas.microsoft.com/office/drawing/2014/chart" uri="{C3380CC4-5D6E-409C-BE32-E72D297353CC}">
              <c16:uniqueId val="{00000000-B6BB-438B-9DC7-6200F716DB4E}"/>
            </c:ext>
          </c:extLst>
        </c:ser>
        <c:dLbls>
          <c:showLegendKey val="0"/>
          <c:showVal val="0"/>
          <c:showCatName val="0"/>
          <c:showSerName val="0"/>
          <c:showPercent val="0"/>
          <c:showBubbleSize val="0"/>
        </c:dLbls>
        <c:gapWidth val="182"/>
        <c:axId val="297062127"/>
        <c:axId val="297065871"/>
      </c:barChart>
      <c:catAx>
        <c:axId val="29706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5871"/>
        <c:crosses val="autoZero"/>
        <c:auto val="1"/>
        <c:lblAlgn val="ctr"/>
        <c:lblOffset val="100"/>
        <c:noMultiLvlLbl val="0"/>
      </c:catAx>
      <c:valAx>
        <c:axId val="29706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table!PivotTable4</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table'!$A$15:$A$19</c:f>
              <c:strCache>
                <c:ptCount val="4"/>
                <c:pt idx="0">
                  <c:v>East</c:v>
                </c:pt>
                <c:pt idx="1">
                  <c:v>North</c:v>
                </c:pt>
                <c:pt idx="2">
                  <c:v>South</c:v>
                </c:pt>
                <c:pt idx="3">
                  <c:v>West</c:v>
                </c:pt>
              </c:strCache>
            </c:strRef>
          </c:cat>
          <c:val>
            <c:numRef>
              <c:f>'Pivot table'!$B$15:$B$19</c:f>
              <c:numCache>
                <c:formatCode>General</c:formatCode>
                <c:ptCount val="4"/>
                <c:pt idx="0">
                  <c:v>16</c:v>
                </c:pt>
                <c:pt idx="1">
                  <c:v>9</c:v>
                </c:pt>
                <c:pt idx="2">
                  <c:v>13</c:v>
                </c:pt>
                <c:pt idx="3">
                  <c:v>10</c:v>
                </c:pt>
              </c:numCache>
            </c:numRef>
          </c:val>
          <c:smooth val="0"/>
          <c:extLst>
            <c:ext xmlns:c16="http://schemas.microsoft.com/office/drawing/2014/chart" uri="{C3380CC4-5D6E-409C-BE32-E72D297353CC}">
              <c16:uniqueId val="{0000000A-FF48-485C-857F-DF3386C7CE96}"/>
            </c:ext>
          </c:extLst>
        </c:ser>
        <c:dLbls>
          <c:showLegendKey val="0"/>
          <c:showVal val="0"/>
          <c:showCatName val="0"/>
          <c:showSerName val="0"/>
          <c:showPercent val="0"/>
          <c:showBubbleSize val="0"/>
        </c:dLbls>
        <c:marker val="1"/>
        <c:smooth val="0"/>
        <c:axId val="452163727"/>
        <c:axId val="452161647"/>
      </c:lineChart>
      <c:catAx>
        <c:axId val="4521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1647"/>
        <c:crosses val="autoZero"/>
        <c:auto val="1"/>
        <c:lblAlgn val="ctr"/>
        <c:lblOffset val="100"/>
        <c:noMultiLvlLbl val="0"/>
      </c:catAx>
      <c:valAx>
        <c:axId val="45216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37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table!PivotTable6</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88-4BCC-BDED-56E4DCC159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88-4BCC-BDED-56E4DCC159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88-4BCC-BDED-56E4DCC1592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88-4BCC-BDED-56E4DCC1592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E88-4BCC-BDED-56E4DCC1592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E88-4BCC-BDED-56E4DCC159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table'!$H$14:$H$15</c:f>
              <c:strCache>
                <c:ptCount val="1"/>
                <c:pt idx="0">
                  <c:v>Monitor</c:v>
                </c:pt>
              </c:strCache>
            </c:strRef>
          </c:cat>
          <c:val>
            <c:numRef>
              <c:f>'Pivot table'!$I$14:$I$15</c:f>
              <c:numCache>
                <c:formatCode>General</c:formatCode>
                <c:ptCount val="1"/>
                <c:pt idx="0">
                  <c:v>48</c:v>
                </c:pt>
              </c:numCache>
            </c:numRef>
          </c:val>
          <c:extLst>
            <c:ext xmlns:c16="http://schemas.microsoft.com/office/drawing/2014/chart" uri="{C3380CC4-5D6E-409C-BE32-E72D297353CC}">
              <c16:uniqueId val="{0000000C-4E88-4BCC-BDED-56E4DCC159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983310510099282"/>
          <c:y val="0.2823809867803222"/>
          <c:w val="0.28328269428277986"/>
          <c:h val="0.50479086903127934"/>
        </c:manualLayout>
      </c:layout>
      <c:barChart>
        <c:barDir val="bar"/>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table'!$D$14:$D$15</c:f>
              <c:strCache>
                <c:ptCount val="1"/>
                <c:pt idx="0">
                  <c:v>Monitor</c:v>
                </c:pt>
              </c:strCache>
            </c:strRef>
          </c:cat>
          <c:val>
            <c:numRef>
              <c:f>'Pivot table'!$E$14:$E$15</c:f>
              <c:numCache>
                <c:formatCode>General</c:formatCode>
                <c:ptCount val="1"/>
                <c:pt idx="0">
                  <c:v>48</c:v>
                </c:pt>
              </c:numCache>
            </c:numRef>
          </c:val>
          <c:extLst>
            <c:ext xmlns:c16="http://schemas.microsoft.com/office/drawing/2014/chart" uri="{C3380CC4-5D6E-409C-BE32-E72D297353CC}">
              <c16:uniqueId val="{00000000-F0F5-4D21-8B95-79C23DA8FA9C}"/>
            </c:ext>
          </c:extLst>
        </c:ser>
        <c:dLbls>
          <c:showLegendKey val="0"/>
          <c:showVal val="0"/>
          <c:showCatName val="0"/>
          <c:showSerName val="0"/>
          <c:showPercent val="0"/>
          <c:showBubbleSize val="0"/>
        </c:dLbls>
        <c:gapWidth val="182"/>
        <c:axId val="102033887"/>
        <c:axId val="283945919"/>
      </c:barChart>
      <c:catAx>
        <c:axId val="10203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45919"/>
        <c:crosses val="autoZero"/>
        <c:auto val="1"/>
        <c:lblAlgn val="ctr"/>
        <c:lblOffset val="100"/>
        <c:noMultiLvlLbl val="0"/>
      </c:catAx>
      <c:valAx>
        <c:axId val="28394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(Updated).xlsx]Monts &amp; REgion Wise Sales!PivotTable3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'Monts &amp; REgion Wise Sales'!$B$3</c:f>
              <c:strCache>
                <c:ptCount val="1"/>
                <c:pt idx="0">
                  <c:v>Margins</c:v>
                </c:pt>
              </c:strCache>
            </c:strRef>
          </c:tx>
          <c:spPr>
            <a:solidFill>
              <a:schemeClr val="accent1"/>
            </a:solidFill>
            <a:ln>
              <a:noFill/>
            </a:ln>
            <a:effectLst/>
          </c:spPr>
          <c:invertIfNegative val="0"/>
          <c:cat>
            <c:strRef>
              <c:f>'Monts &amp; REgion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'Monts &amp; REgion Wise Sales'!$B$4:$B$16</c:f>
              <c:numCache>
                <c:formatCode>General</c:formatCode>
                <c:ptCount val="12"/>
                <c:pt idx="0">
                  <c:v>23008.39</c:v>
                </c:pt>
                <c:pt idx="1">
                  <c:v>44664.860000000008</c:v>
                </c:pt>
                <c:pt idx="2">
                  <c:v>94534.74</c:v>
                </c:pt>
                <c:pt idx="3">
                  <c:v>63783.899999999994</c:v>
                </c:pt>
                <c:pt idx="4">
                  <c:v>211913.62</c:v>
                </c:pt>
                <c:pt idx="5">
                  <c:v>124144.33</c:v>
                </c:pt>
                <c:pt idx="6">
                  <c:v>52837.17</c:v>
                </c:pt>
                <c:pt idx="7">
                  <c:v>87004.26</c:v>
                </c:pt>
                <c:pt idx="8">
                  <c:v>33920.550000000003</c:v>
                </c:pt>
                <c:pt idx="9">
                  <c:v>32488.61</c:v>
                </c:pt>
                <c:pt idx="10">
                  <c:v>139775.1</c:v>
                </c:pt>
                <c:pt idx="11">
                  <c:v>79683.520000000004</c:v>
                </c:pt>
              </c:numCache>
            </c:numRef>
          </c:val>
          <c:extLst>
            <c:ext xmlns:c16="http://schemas.microsoft.com/office/drawing/2014/chart" uri="{C3380CC4-5D6E-409C-BE32-E72D297353CC}">
              <c16:uniqueId val="{00000000-94F5-45F1-B666-81BC8CE81DAB}"/>
            </c:ext>
          </c:extLst>
        </c:ser>
        <c:ser>
          <c:idx val="1"/>
          <c:order val="1"/>
          <c:tx>
            <c:strRef>
              <c:f>'Monts &amp; REgion Wise Sales'!$C$3</c:f>
              <c:strCache>
                <c:ptCount val="1"/>
                <c:pt idx="0">
                  <c:v>Total Profit</c:v>
                </c:pt>
              </c:strCache>
            </c:strRef>
          </c:tx>
          <c:spPr>
            <a:solidFill>
              <a:schemeClr val="accent2"/>
            </a:solidFill>
            <a:ln>
              <a:noFill/>
            </a:ln>
            <a:effectLst/>
          </c:spPr>
          <c:invertIfNegative val="0"/>
          <c:cat>
            <c:strRef>
              <c:f>'Monts &amp; REgion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'Monts &amp; REgion Wise Sales'!$C$4:$C$16</c:f>
              <c:numCache>
                <c:formatCode>General</c:formatCode>
                <c:ptCount val="12"/>
                <c:pt idx="0">
                  <c:v>5227.04</c:v>
                </c:pt>
                <c:pt idx="1">
                  <c:v>14905.490000000002</c:v>
                </c:pt>
                <c:pt idx="2">
                  <c:v>18026.03</c:v>
                </c:pt>
                <c:pt idx="3">
                  <c:v>10403.260000000002</c:v>
                </c:pt>
                <c:pt idx="4">
                  <c:v>45110.69</c:v>
                </c:pt>
                <c:pt idx="5">
                  <c:v>22853.93</c:v>
                </c:pt>
                <c:pt idx="6">
                  <c:v>7178.25</c:v>
                </c:pt>
                <c:pt idx="7">
                  <c:v>17549.989999999998</c:v>
                </c:pt>
                <c:pt idx="8">
                  <c:v>10424.31</c:v>
                </c:pt>
                <c:pt idx="9">
                  <c:v>8684.58</c:v>
                </c:pt>
                <c:pt idx="10">
                  <c:v>21196.49</c:v>
                </c:pt>
                <c:pt idx="11">
                  <c:v>18165.66</c:v>
                </c:pt>
              </c:numCache>
            </c:numRef>
          </c:val>
          <c:extLst>
            <c:ext xmlns:c16="http://schemas.microsoft.com/office/drawing/2014/chart" uri="{C3380CC4-5D6E-409C-BE32-E72D297353CC}">
              <c16:uniqueId val="{00000001-94F5-45F1-B666-81BC8CE81DAB}"/>
            </c:ext>
          </c:extLst>
        </c:ser>
        <c:ser>
          <c:idx val="2"/>
          <c:order val="2"/>
          <c:tx>
            <c:strRef>
              <c:f>'Monts &amp; REgion Wise Sales'!$D$3</c:f>
              <c:strCache>
                <c:ptCount val="1"/>
                <c:pt idx="0">
                  <c:v>Total Qty. Sold</c:v>
                </c:pt>
              </c:strCache>
            </c:strRef>
          </c:tx>
          <c:spPr>
            <a:solidFill>
              <a:schemeClr val="accent3"/>
            </a:solidFill>
            <a:ln>
              <a:noFill/>
            </a:ln>
            <a:effectLst/>
          </c:spPr>
          <c:invertIfNegative val="0"/>
          <c:cat>
            <c:strRef>
              <c:f>'Monts &amp; REgion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'Monts &amp; REgion Wise Sales'!$D$4:$D$16</c:f>
              <c:numCache>
                <c:formatCode>General</c:formatCode>
                <c:ptCount val="12"/>
                <c:pt idx="0">
                  <c:v>36</c:v>
                </c:pt>
                <c:pt idx="1">
                  <c:v>44</c:v>
                </c:pt>
                <c:pt idx="2">
                  <c:v>27</c:v>
                </c:pt>
                <c:pt idx="3">
                  <c:v>19</c:v>
                </c:pt>
                <c:pt idx="4">
                  <c:v>110</c:v>
                </c:pt>
                <c:pt idx="5">
                  <c:v>94</c:v>
                </c:pt>
                <c:pt idx="6">
                  <c:v>18</c:v>
                </c:pt>
                <c:pt idx="7">
                  <c:v>58</c:v>
                </c:pt>
                <c:pt idx="8">
                  <c:v>1</c:v>
                </c:pt>
                <c:pt idx="9">
                  <c:v>20</c:v>
                </c:pt>
                <c:pt idx="10">
                  <c:v>84</c:v>
                </c:pt>
                <c:pt idx="11">
                  <c:v>52</c:v>
                </c:pt>
              </c:numCache>
            </c:numRef>
          </c:val>
          <c:extLst>
            <c:ext xmlns:c16="http://schemas.microsoft.com/office/drawing/2014/chart" uri="{C3380CC4-5D6E-409C-BE32-E72D297353CC}">
              <c16:uniqueId val="{00000002-94F5-45F1-B666-81BC8CE81DAB}"/>
            </c:ext>
          </c:extLst>
        </c:ser>
        <c:dLbls>
          <c:showLegendKey val="0"/>
          <c:showVal val="0"/>
          <c:showCatName val="0"/>
          <c:showSerName val="0"/>
          <c:showPercent val="0"/>
          <c:showBubbleSize val="0"/>
        </c:dLbls>
        <c:gapWidth val="219"/>
        <c:overlap val="-27"/>
        <c:axId val="984721376"/>
        <c:axId val="984722208"/>
      </c:barChart>
      <c:catAx>
        <c:axId val="9847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22208"/>
        <c:crosses val="autoZero"/>
        <c:auto val="1"/>
        <c:lblAlgn val="ctr"/>
        <c:lblOffset val="100"/>
        <c:noMultiLvlLbl val="0"/>
      </c:catAx>
      <c:valAx>
        <c:axId val="98472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2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(Updated).xlsx]Monts &amp; REgion Wise Sales!PivotTable3</c:name>
    <c:fmtId val="7"/>
  </c:pivotSource>
  <c:chart>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s>
    <c:plotArea>
      <c:layout/>
      <c:doughnutChart>
        <c:varyColors val="1"/>
        <c:ser>
          <c:idx val="0"/>
          <c:order val="0"/>
          <c:tx>
            <c:strRef>
              <c:f>'Monts &amp; REgion Wise Sales'!$B$3</c:f>
              <c:strCache>
                <c:ptCount val="1"/>
                <c:pt idx="0">
                  <c:v>Margins</c:v>
                </c:pt>
              </c:strCache>
            </c:strRef>
          </c:tx>
          <c:dPt>
            <c:idx val="0"/>
            <c:bubble3D val="0"/>
            <c:spPr>
              <a:solidFill>
                <a:schemeClr val="accent1"/>
              </a:solidFill>
              <a:ln>
                <a:noFill/>
              </a:ln>
              <a:effectLst/>
            </c:spPr>
            <c:extLst>
              <c:ext xmlns:c16="http://schemas.microsoft.com/office/drawing/2014/chart" uri="{C3380CC4-5D6E-409C-BE32-E72D297353CC}">
                <c16:uniqueId val="{00000001-211D-46AA-8C90-8A3522DD1B06}"/>
              </c:ext>
            </c:extLst>
          </c:dPt>
          <c:dPt>
            <c:idx val="1"/>
            <c:bubble3D val="0"/>
            <c:spPr>
              <a:solidFill>
                <a:schemeClr val="accent2"/>
              </a:solidFill>
              <a:ln>
                <a:noFill/>
              </a:ln>
              <a:effectLst/>
            </c:spPr>
            <c:extLst>
              <c:ext xmlns:c16="http://schemas.microsoft.com/office/drawing/2014/chart" uri="{C3380CC4-5D6E-409C-BE32-E72D297353CC}">
                <c16:uniqueId val="{00000003-211D-46AA-8C90-8A3522DD1B06}"/>
              </c:ext>
            </c:extLst>
          </c:dPt>
          <c:dPt>
            <c:idx val="2"/>
            <c:bubble3D val="0"/>
            <c:spPr>
              <a:solidFill>
                <a:schemeClr val="accent3"/>
              </a:solidFill>
              <a:ln>
                <a:noFill/>
              </a:ln>
              <a:effectLst/>
            </c:spPr>
            <c:extLst>
              <c:ext xmlns:c16="http://schemas.microsoft.com/office/drawing/2014/chart" uri="{C3380CC4-5D6E-409C-BE32-E72D297353CC}">
                <c16:uniqueId val="{00000005-211D-46AA-8C90-8A3522DD1B06}"/>
              </c:ext>
            </c:extLst>
          </c:dPt>
          <c:dPt>
            <c:idx val="3"/>
            <c:bubble3D val="0"/>
            <c:spPr>
              <a:solidFill>
                <a:schemeClr val="accent4"/>
              </a:solidFill>
              <a:ln>
                <a:noFill/>
              </a:ln>
              <a:effectLst/>
            </c:spPr>
            <c:extLst>
              <c:ext xmlns:c16="http://schemas.microsoft.com/office/drawing/2014/chart" uri="{C3380CC4-5D6E-409C-BE32-E72D297353CC}">
                <c16:uniqueId val="{00000007-211D-46AA-8C90-8A3522DD1B06}"/>
              </c:ext>
            </c:extLst>
          </c:dPt>
          <c:dPt>
            <c:idx val="4"/>
            <c:bubble3D val="0"/>
            <c:spPr>
              <a:solidFill>
                <a:schemeClr val="accent5"/>
              </a:solidFill>
              <a:ln>
                <a:noFill/>
              </a:ln>
              <a:effectLst/>
            </c:spPr>
            <c:extLst>
              <c:ext xmlns:c16="http://schemas.microsoft.com/office/drawing/2014/chart" uri="{C3380CC4-5D6E-409C-BE32-E72D297353CC}">
                <c16:uniqueId val="{00000009-211D-46AA-8C90-8A3522DD1B06}"/>
              </c:ext>
            </c:extLst>
          </c:dPt>
          <c:dPt>
            <c:idx val="5"/>
            <c:bubble3D val="0"/>
            <c:spPr>
              <a:solidFill>
                <a:schemeClr val="accent6"/>
              </a:solidFill>
              <a:ln>
                <a:noFill/>
              </a:ln>
              <a:effectLst/>
            </c:spPr>
            <c:extLst>
              <c:ext xmlns:c16="http://schemas.microsoft.com/office/drawing/2014/chart" uri="{C3380CC4-5D6E-409C-BE32-E72D297353CC}">
                <c16:uniqueId val="{0000000B-211D-46AA-8C90-8A3522DD1B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11D-46AA-8C90-8A3522DD1B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11D-46AA-8C90-8A3522DD1B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11D-46AA-8C90-8A3522DD1B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11D-46AA-8C90-8A3522DD1B0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11D-46AA-8C90-8A3522DD1B06}"/>
              </c:ext>
            </c:extLst>
          </c:dPt>
          <c:dPt>
            <c:idx val="11"/>
            <c:bubble3D val="0"/>
            <c:spPr>
              <a:solidFill>
                <a:schemeClr val="accent6">
                  <a:lumMod val="60000"/>
                </a:schemeClr>
              </a:solidFill>
              <a:ln>
                <a:noFill/>
              </a:ln>
              <a:effectLst/>
            </c:spPr>
          </c:dPt>
          <c:cat>
            <c:strRef>
              <c:f>'Monts &amp; REgion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'Monts &amp; REgion Wise Sales'!$B$4:$B$16</c:f>
              <c:numCache>
                <c:formatCode>General</c:formatCode>
                <c:ptCount val="12"/>
                <c:pt idx="0">
                  <c:v>23008.39</c:v>
                </c:pt>
                <c:pt idx="1">
                  <c:v>44664.860000000008</c:v>
                </c:pt>
                <c:pt idx="2">
                  <c:v>94534.74</c:v>
                </c:pt>
                <c:pt idx="3">
                  <c:v>63783.899999999994</c:v>
                </c:pt>
                <c:pt idx="4">
                  <c:v>211913.62</c:v>
                </c:pt>
                <c:pt idx="5">
                  <c:v>124144.33</c:v>
                </c:pt>
                <c:pt idx="6">
                  <c:v>52837.17</c:v>
                </c:pt>
                <c:pt idx="7">
                  <c:v>87004.26</c:v>
                </c:pt>
                <c:pt idx="8">
                  <c:v>33920.550000000003</c:v>
                </c:pt>
                <c:pt idx="9">
                  <c:v>32488.61</c:v>
                </c:pt>
                <c:pt idx="10">
                  <c:v>139775.1</c:v>
                </c:pt>
                <c:pt idx="11">
                  <c:v>79683.520000000004</c:v>
                </c:pt>
              </c:numCache>
            </c:numRef>
          </c:val>
          <c:extLst>
            <c:ext xmlns:c16="http://schemas.microsoft.com/office/drawing/2014/chart" uri="{C3380CC4-5D6E-409C-BE32-E72D297353CC}">
              <c16:uniqueId val="{00000016-211D-46AA-8C90-8A3522DD1B06}"/>
            </c:ext>
          </c:extLst>
        </c:ser>
        <c:ser>
          <c:idx val="1"/>
          <c:order val="1"/>
          <c:tx>
            <c:strRef>
              <c:f>'Monts &amp; REgion Wise Sales'!$C$3</c:f>
              <c:strCache>
                <c:ptCount val="1"/>
                <c:pt idx="0">
                  <c:v>Total Profit</c:v>
                </c:pt>
              </c:strCache>
            </c:strRef>
          </c:tx>
          <c:dPt>
            <c:idx val="0"/>
            <c:bubble3D val="0"/>
            <c:spPr>
              <a:solidFill>
                <a:schemeClr val="accent1"/>
              </a:solidFill>
              <a:ln>
                <a:noFill/>
              </a:ln>
              <a:effectLst/>
            </c:spPr>
            <c:extLst>
              <c:ext xmlns:c16="http://schemas.microsoft.com/office/drawing/2014/chart" uri="{C3380CC4-5D6E-409C-BE32-E72D297353CC}">
                <c16:uniqueId val="{00000018-211D-46AA-8C90-8A3522DD1B06}"/>
              </c:ext>
            </c:extLst>
          </c:dPt>
          <c:dPt>
            <c:idx val="1"/>
            <c:bubble3D val="0"/>
            <c:spPr>
              <a:solidFill>
                <a:schemeClr val="accent2"/>
              </a:solidFill>
              <a:ln>
                <a:noFill/>
              </a:ln>
              <a:effectLst/>
            </c:spPr>
            <c:extLst>
              <c:ext xmlns:c16="http://schemas.microsoft.com/office/drawing/2014/chart" uri="{C3380CC4-5D6E-409C-BE32-E72D297353CC}">
                <c16:uniqueId val="{0000001A-211D-46AA-8C90-8A3522DD1B06}"/>
              </c:ext>
            </c:extLst>
          </c:dPt>
          <c:dPt>
            <c:idx val="2"/>
            <c:bubble3D val="0"/>
            <c:spPr>
              <a:solidFill>
                <a:schemeClr val="accent3"/>
              </a:solidFill>
              <a:ln>
                <a:noFill/>
              </a:ln>
              <a:effectLst/>
            </c:spPr>
            <c:extLst>
              <c:ext xmlns:c16="http://schemas.microsoft.com/office/drawing/2014/chart" uri="{C3380CC4-5D6E-409C-BE32-E72D297353CC}">
                <c16:uniqueId val="{0000001C-211D-46AA-8C90-8A3522DD1B06}"/>
              </c:ext>
            </c:extLst>
          </c:dPt>
          <c:dPt>
            <c:idx val="3"/>
            <c:bubble3D val="0"/>
            <c:spPr>
              <a:solidFill>
                <a:schemeClr val="accent4"/>
              </a:solidFill>
              <a:ln>
                <a:noFill/>
              </a:ln>
              <a:effectLst/>
            </c:spPr>
            <c:extLst>
              <c:ext xmlns:c16="http://schemas.microsoft.com/office/drawing/2014/chart" uri="{C3380CC4-5D6E-409C-BE32-E72D297353CC}">
                <c16:uniqueId val="{0000001E-211D-46AA-8C90-8A3522DD1B06}"/>
              </c:ext>
            </c:extLst>
          </c:dPt>
          <c:dPt>
            <c:idx val="4"/>
            <c:bubble3D val="0"/>
            <c:spPr>
              <a:solidFill>
                <a:schemeClr val="accent5"/>
              </a:solidFill>
              <a:ln>
                <a:noFill/>
              </a:ln>
              <a:effectLst/>
            </c:spPr>
            <c:extLst>
              <c:ext xmlns:c16="http://schemas.microsoft.com/office/drawing/2014/chart" uri="{C3380CC4-5D6E-409C-BE32-E72D297353CC}">
                <c16:uniqueId val="{00000020-211D-46AA-8C90-8A3522DD1B06}"/>
              </c:ext>
            </c:extLst>
          </c:dPt>
          <c:dPt>
            <c:idx val="5"/>
            <c:bubble3D val="0"/>
            <c:spPr>
              <a:solidFill>
                <a:schemeClr val="accent6"/>
              </a:solidFill>
              <a:ln>
                <a:noFill/>
              </a:ln>
              <a:effectLst/>
            </c:spPr>
            <c:extLst>
              <c:ext xmlns:c16="http://schemas.microsoft.com/office/drawing/2014/chart" uri="{C3380CC4-5D6E-409C-BE32-E72D297353CC}">
                <c16:uniqueId val="{00000022-211D-46AA-8C90-8A3522DD1B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4-211D-46AA-8C90-8A3522DD1B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6-211D-46AA-8C90-8A3522DD1B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8-211D-46AA-8C90-8A3522DD1B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2A-211D-46AA-8C90-8A3522DD1B0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2C-211D-46AA-8C90-8A3522DD1B06}"/>
              </c:ext>
            </c:extLst>
          </c:dPt>
          <c:dPt>
            <c:idx val="11"/>
            <c:bubble3D val="0"/>
            <c:spPr>
              <a:solidFill>
                <a:schemeClr val="accent6">
                  <a:lumMod val="60000"/>
                </a:schemeClr>
              </a:solidFill>
              <a:ln>
                <a:noFill/>
              </a:ln>
              <a:effectLst/>
            </c:spPr>
          </c:dPt>
          <c:cat>
            <c:strRef>
              <c:f>'Monts &amp; REgion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'Monts &amp; REgion Wise Sales'!$C$4:$C$16</c:f>
              <c:numCache>
                <c:formatCode>General</c:formatCode>
                <c:ptCount val="12"/>
                <c:pt idx="0">
                  <c:v>5227.04</c:v>
                </c:pt>
                <c:pt idx="1">
                  <c:v>14905.490000000002</c:v>
                </c:pt>
                <c:pt idx="2">
                  <c:v>18026.03</c:v>
                </c:pt>
                <c:pt idx="3">
                  <c:v>10403.260000000002</c:v>
                </c:pt>
                <c:pt idx="4">
                  <c:v>45110.69</c:v>
                </c:pt>
                <c:pt idx="5">
                  <c:v>22853.93</c:v>
                </c:pt>
                <c:pt idx="6">
                  <c:v>7178.25</c:v>
                </c:pt>
                <c:pt idx="7">
                  <c:v>17549.989999999998</c:v>
                </c:pt>
                <c:pt idx="8">
                  <c:v>10424.31</c:v>
                </c:pt>
                <c:pt idx="9">
                  <c:v>8684.58</c:v>
                </c:pt>
                <c:pt idx="10">
                  <c:v>21196.49</c:v>
                </c:pt>
                <c:pt idx="11">
                  <c:v>18165.66</c:v>
                </c:pt>
              </c:numCache>
            </c:numRef>
          </c:val>
          <c:extLst>
            <c:ext xmlns:c16="http://schemas.microsoft.com/office/drawing/2014/chart" uri="{C3380CC4-5D6E-409C-BE32-E72D297353CC}">
              <c16:uniqueId val="{0000002D-211D-46AA-8C90-8A3522DD1B06}"/>
            </c:ext>
          </c:extLst>
        </c:ser>
        <c:dLbls>
          <c:showLegendKey val="0"/>
          <c:showVal val="0"/>
          <c:showCatName val="0"/>
          <c:showSerName val="0"/>
          <c:showPercent val="0"/>
          <c:showBubbleSize val="0"/>
          <c:showLeaderLines val="1"/>
        </c:dLbls>
        <c:firstSliceAng val="0"/>
        <c:holeSize val="75"/>
      </c:doughnutChart>
      <c:pieChart>
        <c:varyColors val="1"/>
        <c:ser>
          <c:idx val="2"/>
          <c:order val="2"/>
          <c:tx>
            <c:strRef>
              <c:f>'Monts &amp; REgion Wise Sales'!$D$3</c:f>
              <c:strCache>
                <c:ptCount val="1"/>
                <c:pt idx="0">
                  <c:v>Total Qty. Sold</c:v>
                </c:pt>
              </c:strCache>
            </c:strRef>
          </c:tx>
          <c:dPt>
            <c:idx val="0"/>
            <c:bubble3D val="0"/>
            <c:spPr>
              <a:solidFill>
                <a:schemeClr val="accent1"/>
              </a:solidFill>
              <a:ln>
                <a:noFill/>
              </a:ln>
              <a:effectLst/>
            </c:spPr>
            <c:extLst>
              <c:ext xmlns:c16="http://schemas.microsoft.com/office/drawing/2014/chart" uri="{C3380CC4-5D6E-409C-BE32-E72D297353CC}">
                <c16:uniqueId val="{0000002F-211D-46AA-8C90-8A3522DD1B06}"/>
              </c:ext>
            </c:extLst>
          </c:dPt>
          <c:dPt>
            <c:idx val="1"/>
            <c:bubble3D val="0"/>
            <c:spPr>
              <a:solidFill>
                <a:schemeClr val="accent2"/>
              </a:solidFill>
              <a:ln>
                <a:noFill/>
              </a:ln>
              <a:effectLst/>
            </c:spPr>
            <c:extLst>
              <c:ext xmlns:c16="http://schemas.microsoft.com/office/drawing/2014/chart" uri="{C3380CC4-5D6E-409C-BE32-E72D297353CC}">
                <c16:uniqueId val="{00000031-211D-46AA-8C90-8A3522DD1B06}"/>
              </c:ext>
            </c:extLst>
          </c:dPt>
          <c:dPt>
            <c:idx val="2"/>
            <c:bubble3D val="0"/>
            <c:spPr>
              <a:solidFill>
                <a:schemeClr val="accent3"/>
              </a:solidFill>
              <a:ln>
                <a:noFill/>
              </a:ln>
              <a:effectLst/>
            </c:spPr>
            <c:extLst>
              <c:ext xmlns:c16="http://schemas.microsoft.com/office/drawing/2014/chart" uri="{C3380CC4-5D6E-409C-BE32-E72D297353CC}">
                <c16:uniqueId val="{00000033-211D-46AA-8C90-8A3522DD1B06}"/>
              </c:ext>
            </c:extLst>
          </c:dPt>
          <c:dPt>
            <c:idx val="3"/>
            <c:bubble3D val="0"/>
            <c:spPr>
              <a:solidFill>
                <a:schemeClr val="accent4"/>
              </a:solidFill>
              <a:ln>
                <a:noFill/>
              </a:ln>
              <a:effectLst/>
            </c:spPr>
            <c:extLst>
              <c:ext xmlns:c16="http://schemas.microsoft.com/office/drawing/2014/chart" uri="{C3380CC4-5D6E-409C-BE32-E72D297353CC}">
                <c16:uniqueId val="{00000035-211D-46AA-8C90-8A3522DD1B06}"/>
              </c:ext>
            </c:extLst>
          </c:dPt>
          <c:dPt>
            <c:idx val="4"/>
            <c:bubble3D val="0"/>
            <c:spPr>
              <a:solidFill>
                <a:schemeClr val="accent5"/>
              </a:solidFill>
              <a:ln>
                <a:noFill/>
              </a:ln>
              <a:effectLst/>
            </c:spPr>
            <c:extLst>
              <c:ext xmlns:c16="http://schemas.microsoft.com/office/drawing/2014/chart" uri="{C3380CC4-5D6E-409C-BE32-E72D297353CC}">
                <c16:uniqueId val="{00000037-211D-46AA-8C90-8A3522DD1B06}"/>
              </c:ext>
            </c:extLst>
          </c:dPt>
          <c:dPt>
            <c:idx val="5"/>
            <c:bubble3D val="0"/>
            <c:spPr>
              <a:solidFill>
                <a:schemeClr val="accent6"/>
              </a:solidFill>
              <a:ln>
                <a:noFill/>
              </a:ln>
              <a:effectLst/>
            </c:spPr>
            <c:extLst>
              <c:ext xmlns:c16="http://schemas.microsoft.com/office/drawing/2014/chart" uri="{C3380CC4-5D6E-409C-BE32-E72D297353CC}">
                <c16:uniqueId val="{00000039-211D-46AA-8C90-8A3522DD1B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B-211D-46AA-8C90-8A3522DD1B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D-211D-46AA-8C90-8A3522DD1B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F-211D-46AA-8C90-8A3522DD1B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41-211D-46AA-8C90-8A3522DD1B0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43-211D-46AA-8C90-8A3522DD1B06}"/>
              </c:ext>
            </c:extLst>
          </c:dPt>
          <c:dPt>
            <c:idx val="11"/>
            <c:bubble3D val="0"/>
            <c:spPr>
              <a:solidFill>
                <a:schemeClr val="accent6">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'Monts &amp; REgion Wise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'Monts &amp; REgion Wise Sales'!$D$4:$D$16</c:f>
              <c:numCache>
                <c:formatCode>General</c:formatCode>
                <c:ptCount val="12"/>
                <c:pt idx="0">
                  <c:v>36</c:v>
                </c:pt>
                <c:pt idx="1">
                  <c:v>44</c:v>
                </c:pt>
                <c:pt idx="2">
                  <c:v>27</c:v>
                </c:pt>
                <c:pt idx="3">
                  <c:v>19</c:v>
                </c:pt>
                <c:pt idx="4">
                  <c:v>110</c:v>
                </c:pt>
                <c:pt idx="5">
                  <c:v>94</c:v>
                </c:pt>
                <c:pt idx="6">
                  <c:v>18</c:v>
                </c:pt>
                <c:pt idx="7">
                  <c:v>58</c:v>
                </c:pt>
                <c:pt idx="8">
                  <c:v>1</c:v>
                </c:pt>
                <c:pt idx="9">
                  <c:v>20</c:v>
                </c:pt>
                <c:pt idx="10">
                  <c:v>84</c:v>
                </c:pt>
                <c:pt idx="11">
                  <c:v>52</c:v>
                </c:pt>
              </c:numCache>
            </c:numRef>
          </c:val>
          <c:extLst>
            <c:ext xmlns:c16="http://schemas.microsoft.com/office/drawing/2014/chart" uri="{C3380CC4-5D6E-409C-BE32-E72D297353CC}">
              <c16:uniqueId val="{00000044-211D-46AA-8C90-8A3522DD1B0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495300</xdr:colOff>
      <xdr:row>4</xdr:row>
      <xdr:rowOff>31750</xdr:rowOff>
    </xdr:from>
    <xdr:to>
      <xdr:col>15</xdr:col>
      <xdr:colOff>133350</xdr:colOff>
      <xdr:row>33</xdr:row>
      <xdr:rowOff>133350</xdr:rowOff>
    </xdr:to>
    <xdr:sp macro="" textlink="">
      <xdr:nvSpPr>
        <xdr:cNvPr id="2" name="Rectangle: Rounded Corners 1">
          <a:extLst>
            <a:ext uri="{FF2B5EF4-FFF2-40B4-BE49-F238E27FC236}">
              <a16:creationId xmlns:a16="http://schemas.microsoft.com/office/drawing/2014/main" id="{8E5F8C42-02C8-6C5D-4CA4-BEBB44961523}"/>
            </a:ext>
          </a:extLst>
        </xdr:cNvPr>
        <xdr:cNvSpPr/>
      </xdr:nvSpPr>
      <xdr:spPr>
        <a:xfrm>
          <a:off x="495300" y="768350"/>
          <a:ext cx="8782050" cy="5441950"/>
        </a:xfrm>
        <a:prstGeom prst="roundRect">
          <a:avLst>
            <a:gd name="adj" fmla="val 2555"/>
          </a:avLst>
        </a:prstGeom>
        <a:solidFill>
          <a:schemeClr val="accent1">
            <a:lumMod val="20000"/>
            <a:lumOff val="80000"/>
          </a:schemeClr>
        </a:solidFill>
        <a:effectLst>
          <a:glow rad="609600">
            <a:schemeClr val="tx2">
              <a:lumMod val="20000"/>
              <a:lumOff val="80000"/>
              <a:alpha val="1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558800</xdr:colOff>
      <xdr:row>4</xdr:row>
      <xdr:rowOff>158750</xdr:rowOff>
    </xdr:from>
    <xdr:to>
      <xdr:col>7</xdr:col>
      <xdr:colOff>146050</xdr:colOff>
      <xdr:row>8</xdr:row>
      <xdr:rowOff>82550</xdr:rowOff>
    </xdr:to>
    <xdr:sp macro="" textlink="">
      <xdr:nvSpPr>
        <xdr:cNvPr id="3" name="Rectangle: Rounded Corners 2">
          <a:extLst>
            <a:ext uri="{FF2B5EF4-FFF2-40B4-BE49-F238E27FC236}">
              <a16:creationId xmlns:a16="http://schemas.microsoft.com/office/drawing/2014/main" id="{4E81E50D-360A-93D0-1354-E10940CC4092}"/>
            </a:ext>
          </a:extLst>
        </xdr:cNvPr>
        <xdr:cNvSpPr/>
      </xdr:nvSpPr>
      <xdr:spPr>
        <a:xfrm>
          <a:off x="558800" y="895350"/>
          <a:ext cx="3854450" cy="6604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SALES</a:t>
          </a:r>
          <a:r>
            <a:rPr lang="en-IN" sz="3200" b="1" baseline="0"/>
            <a:t> DASHBOARD</a:t>
          </a:r>
          <a:endParaRPr lang="en-IN" sz="3200" b="1"/>
        </a:p>
      </xdr:txBody>
    </xdr:sp>
    <xdr:clientData/>
  </xdr:twoCellAnchor>
  <xdr:twoCellAnchor>
    <xdr:from>
      <xdr:col>2</xdr:col>
      <xdr:colOff>558800</xdr:colOff>
      <xdr:row>17</xdr:row>
      <xdr:rowOff>25400</xdr:rowOff>
    </xdr:from>
    <xdr:to>
      <xdr:col>6</xdr:col>
      <xdr:colOff>507999</xdr:colOff>
      <xdr:row>24</xdr:row>
      <xdr:rowOff>114300</xdr:rowOff>
    </xdr:to>
    <xdr:graphicFrame macro="">
      <xdr:nvGraphicFramePr>
        <xdr:cNvPr id="4" name="Chart 3">
          <a:extLst>
            <a:ext uri="{FF2B5EF4-FFF2-40B4-BE49-F238E27FC236}">
              <a16:creationId xmlns:a16="http://schemas.microsoft.com/office/drawing/2014/main" id="{52C0F10E-3E58-47C4-B44E-365F9A89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577850</xdr:colOff>
      <xdr:row>16</xdr:row>
      <xdr:rowOff>177800</xdr:rowOff>
    </xdr:from>
    <xdr:to>
      <xdr:col>10</xdr:col>
      <xdr:colOff>412750</xdr:colOff>
      <xdr:row>24</xdr:row>
      <xdr:rowOff>95250</xdr:rowOff>
    </xdr:to>
    <xdr:graphicFrame macro="">
      <xdr:nvGraphicFramePr>
        <xdr:cNvPr id="5" name="Chart 4">
          <a:extLst>
            <a:ext uri="{FF2B5EF4-FFF2-40B4-BE49-F238E27FC236}">
              <a16:creationId xmlns:a16="http://schemas.microsoft.com/office/drawing/2014/main" id="{2082D978-00B7-4527-A147-0AF4C1F6A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25</xdr:row>
      <xdr:rowOff>12700</xdr:rowOff>
    </xdr:from>
    <xdr:to>
      <xdr:col>6</xdr:col>
      <xdr:colOff>533400</xdr:colOff>
      <xdr:row>33</xdr:row>
      <xdr:rowOff>44450</xdr:rowOff>
    </xdr:to>
    <xdr:graphicFrame macro="">
      <xdr:nvGraphicFramePr>
        <xdr:cNvPr id="7" name="Chart 6">
          <a:extLst>
            <a:ext uri="{FF2B5EF4-FFF2-40B4-BE49-F238E27FC236}">
              <a16:creationId xmlns:a16="http://schemas.microsoft.com/office/drawing/2014/main" id="{51ADAE22-F3FF-4E08-9615-13976BC0B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577850</xdr:colOff>
      <xdr:row>24</xdr:row>
      <xdr:rowOff>177800</xdr:rowOff>
    </xdr:from>
    <xdr:to>
      <xdr:col>10</xdr:col>
      <xdr:colOff>431800</xdr:colOff>
      <xdr:row>33</xdr:row>
      <xdr:rowOff>44450</xdr:rowOff>
    </xdr:to>
    <xdr:graphicFrame macro="">
      <xdr:nvGraphicFramePr>
        <xdr:cNvPr id="8" name="Chart 7">
          <a:extLst>
            <a:ext uri="{FF2B5EF4-FFF2-40B4-BE49-F238E27FC236}">
              <a16:creationId xmlns:a16="http://schemas.microsoft.com/office/drawing/2014/main" id="{ADDAE3B0-9FB5-4E3C-9D01-14BC681EF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488950</xdr:colOff>
      <xdr:row>24</xdr:row>
      <xdr:rowOff>165100</xdr:rowOff>
    </xdr:from>
    <xdr:to>
      <xdr:col>14</xdr:col>
      <xdr:colOff>387350</xdr:colOff>
      <xdr:row>33</xdr:row>
      <xdr:rowOff>25400</xdr:rowOff>
    </xdr:to>
    <xdr:graphicFrame macro="">
      <xdr:nvGraphicFramePr>
        <xdr:cNvPr id="9" name="Chart 8">
          <a:extLst>
            <a:ext uri="{FF2B5EF4-FFF2-40B4-BE49-F238E27FC236}">
              <a16:creationId xmlns:a16="http://schemas.microsoft.com/office/drawing/2014/main" id="{5D5393B8-3994-45BE-8E5F-895B67C77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590550</xdr:colOff>
      <xdr:row>16</xdr:row>
      <xdr:rowOff>107950</xdr:rowOff>
    </xdr:from>
    <xdr:to>
      <xdr:col>2</xdr:col>
      <xdr:colOff>482600</xdr:colOff>
      <xdr:row>33</xdr:row>
      <xdr:rowOff>19050</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93EB8943-FF69-46D3-99CF-06B79C2A23B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590550" y="3054350"/>
              <a:ext cx="1111250" cy="304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577850</xdr:colOff>
      <xdr:row>9</xdr:row>
      <xdr:rowOff>165100</xdr:rowOff>
    </xdr:from>
    <xdr:to>
      <xdr:col>3</xdr:col>
      <xdr:colOff>431546</xdr:colOff>
      <xdr:row>16</xdr:row>
      <xdr:rowOff>44450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F698B8B-72F1-4111-8669-9809CE0F59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7850" y="1822450"/>
              <a:ext cx="1682496"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9</xdr:row>
      <xdr:rowOff>165100</xdr:rowOff>
    </xdr:from>
    <xdr:to>
      <xdr:col>6</xdr:col>
      <xdr:colOff>321437</xdr:colOff>
      <xdr:row>16</xdr:row>
      <xdr:rowOff>69849</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24214C38-CB8B-4AF4-B03B-DFA7C7CA7A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05050" y="1822450"/>
              <a:ext cx="1673987" cy="119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228600</xdr:colOff>
      <xdr:row>4</xdr:row>
      <xdr:rowOff>127000</xdr:rowOff>
    </xdr:from>
    <xdr:to>
      <xdr:col>9</xdr:col>
      <xdr:colOff>514350</xdr:colOff>
      <xdr:row>8</xdr:row>
      <xdr:rowOff>82550</xdr:rowOff>
    </xdr:to>
    <xdr:sp macro="" textlink="'Total sales, Profit, Quantity, '!C4">
      <xdr:nvSpPr>
        <xdr:cNvPr id="6" name="Rectangle: Rounded Corners 5">
          <a:extLst>
            <a:ext uri="{FF2B5EF4-FFF2-40B4-BE49-F238E27FC236}">
              <a16:creationId xmlns:a16="http://schemas.microsoft.com/office/drawing/2014/main" id="{50B74AA2-9604-1EAE-ED4D-0AF97AA2AAB8}"/>
            </a:ext>
          </a:extLst>
        </xdr:cNvPr>
        <xdr:cNvSpPr/>
      </xdr:nvSpPr>
      <xdr:spPr>
        <a:xfrm>
          <a:off x="4495800" y="863600"/>
          <a:ext cx="1504950" cy="6921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    Total Sales</a:t>
          </a:r>
          <a:endParaRPr lang="en-US" sz="1400" b="0" i="0" u="none" strike="noStrike" baseline="0">
            <a:solidFill>
              <a:srgbClr val="000000"/>
            </a:solidFill>
            <a:latin typeface="Calibri"/>
            <a:ea typeface="Calibri"/>
            <a:cs typeface="Calibri"/>
          </a:endParaRPr>
        </a:p>
        <a:p>
          <a:pPr algn="l"/>
          <a:fld id="{ABCC9882-070C-49DB-BE73-0B0DDED23C26}" type="TxLink">
            <a:rPr lang="en-US" sz="1400" b="0" i="0" u="none" strike="noStrike">
              <a:solidFill>
                <a:srgbClr val="000000"/>
              </a:solidFill>
              <a:latin typeface="Calibri"/>
              <a:ea typeface="Calibri"/>
              <a:cs typeface="Calibri"/>
            </a:rPr>
            <a:pPr algn="l"/>
            <a:t>₹ 13,18,400.61</a:t>
          </a:fld>
          <a:endParaRPr lang="en-IN" sz="1200"/>
        </a:p>
      </xdr:txBody>
    </xdr:sp>
    <xdr:clientData/>
  </xdr:twoCellAnchor>
  <xdr:twoCellAnchor>
    <xdr:from>
      <xdr:col>9</xdr:col>
      <xdr:colOff>584200</xdr:colOff>
      <xdr:row>4</xdr:row>
      <xdr:rowOff>114300</xdr:rowOff>
    </xdr:from>
    <xdr:to>
      <xdr:col>12</xdr:col>
      <xdr:colOff>292100</xdr:colOff>
      <xdr:row>8</xdr:row>
      <xdr:rowOff>88900</xdr:rowOff>
    </xdr:to>
    <xdr:sp macro="" textlink="'Total sales, Profit, Quantity, '!B4">
      <xdr:nvSpPr>
        <xdr:cNvPr id="10" name="Rectangle: Rounded Corners 9">
          <a:extLst>
            <a:ext uri="{FF2B5EF4-FFF2-40B4-BE49-F238E27FC236}">
              <a16:creationId xmlns:a16="http://schemas.microsoft.com/office/drawing/2014/main" id="{69FEBE7E-32CF-BEAB-C30D-67ECC752A070}"/>
            </a:ext>
          </a:extLst>
        </xdr:cNvPr>
        <xdr:cNvSpPr/>
      </xdr:nvSpPr>
      <xdr:spPr>
        <a:xfrm>
          <a:off x="6070600" y="850900"/>
          <a:ext cx="1536700" cy="711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Total</a:t>
          </a:r>
          <a:r>
            <a:rPr lang="en-US" sz="12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Profit</a:t>
          </a:r>
          <a:endParaRPr lang="en-US" sz="1200" b="0" i="0" u="none" strike="noStrike">
            <a:solidFill>
              <a:srgbClr val="000000"/>
            </a:solidFill>
            <a:latin typeface="Calibri"/>
            <a:ea typeface="Calibri"/>
            <a:cs typeface="Calibri"/>
          </a:endParaRPr>
        </a:p>
        <a:p>
          <a:pPr algn="l"/>
          <a:r>
            <a:rPr lang="en-US" sz="1200" b="0" i="0" u="none" strike="noStrike" baseline="0">
              <a:solidFill>
                <a:srgbClr val="000000"/>
              </a:solidFill>
              <a:latin typeface="Calibri"/>
              <a:ea typeface="Calibri"/>
              <a:cs typeface="Calibri"/>
            </a:rPr>
            <a:t>   </a:t>
          </a:r>
          <a:fld id="{5C9B6084-3685-4645-813F-9A0B5EDBAF25}" type="TxLink">
            <a:rPr lang="en-US" sz="1400" b="0" i="0" u="none" strike="noStrike">
              <a:solidFill>
                <a:srgbClr val="000000"/>
              </a:solidFill>
              <a:latin typeface="Calibri"/>
              <a:ea typeface="Calibri"/>
              <a:cs typeface="Calibri"/>
            </a:rPr>
            <a:pPr algn="l"/>
            <a:t>₹ 2,12,622.99</a:t>
          </a:fld>
          <a:endParaRPr lang="en-IN" sz="1100"/>
        </a:p>
      </xdr:txBody>
    </xdr:sp>
    <xdr:clientData/>
  </xdr:twoCellAnchor>
  <xdr:twoCellAnchor>
    <xdr:from>
      <xdr:col>12</xdr:col>
      <xdr:colOff>374650</xdr:colOff>
      <xdr:row>4</xdr:row>
      <xdr:rowOff>101600</xdr:rowOff>
    </xdr:from>
    <xdr:to>
      <xdr:col>15</xdr:col>
      <xdr:colOff>31750</xdr:colOff>
      <xdr:row>8</xdr:row>
      <xdr:rowOff>107950</xdr:rowOff>
    </xdr:to>
    <xdr:sp macro="" textlink="'Total sales, Profit, Quantity, '!A4">
      <xdr:nvSpPr>
        <xdr:cNvPr id="12" name="Rectangle: Rounded Corners 11">
          <a:extLst>
            <a:ext uri="{FF2B5EF4-FFF2-40B4-BE49-F238E27FC236}">
              <a16:creationId xmlns:a16="http://schemas.microsoft.com/office/drawing/2014/main" id="{0D3B69E7-311E-007B-8623-DD257D8FCB9F}"/>
            </a:ext>
          </a:extLst>
        </xdr:cNvPr>
        <xdr:cNvSpPr/>
      </xdr:nvSpPr>
      <xdr:spPr>
        <a:xfrm>
          <a:off x="7689850" y="838200"/>
          <a:ext cx="1485900" cy="7429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Total Qty. Sold</a:t>
          </a:r>
        </a:p>
        <a:p>
          <a:pPr algn="l"/>
          <a:fld id="{C7C3CC8A-DB02-4D59-BEE0-3312986983EF}" type="TxLink">
            <a:rPr lang="en-US" sz="1600" b="0" i="0" u="none" strike="noStrike">
              <a:solidFill>
                <a:srgbClr val="000000"/>
              </a:solidFill>
              <a:latin typeface="Calibri"/>
              <a:ea typeface="Calibri"/>
              <a:cs typeface="Calibri"/>
            </a:rPr>
            <a:pPr algn="l"/>
            <a:t>₹ 516.00</a:t>
          </a:fld>
          <a:endParaRPr lang="en-IN" sz="1100"/>
        </a:p>
      </xdr:txBody>
    </xdr:sp>
    <xdr:clientData/>
  </xdr:twoCellAnchor>
  <xdr:twoCellAnchor>
    <xdr:from>
      <xdr:col>12</xdr:col>
      <xdr:colOff>419100</xdr:colOff>
      <xdr:row>9</xdr:row>
      <xdr:rowOff>120650</xdr:rowOff>
    </xdr:from>
    <xdr:to>
      <xdr:col>15</xdr:col>
      <xdr:colOff>0</xdr:colOff>
      <xdr:row>13</xdr:row>
      <xdr:rowOff>95250</xdr:rowOff>
    </xdr:to>
    <xdr:sp macro="" textlink="'Total sales, Profit, Quantity, '!D4">
      <xdr:nvSpPr>
        <xdr:cNvPr id="14" name="Rectangle: Rounded Corners 13">
          <a:extLst>
            <a:ext uri="{FF2B5EF4-FFF2-40B4-BE49-F238E27FC236}">
              <a16:creationId xmlns:a16="http://schemas.microsoft.com/office/drawing/2014/main" id="{BC913A3C-627B-6C25-6571-17BAC2767904}"/>
            </a:ext>
          </a:extLst>
        </xdr:cNvPr>
        <xdr:cNvSpPr/>
      </xdr:nvSpPr>
      <xdr:spPr>
        <a:xfrm>
          <a:off x="7734300" y="1778000"/>
          <a:ext cx="1409700" cy="711200"/>
        </a:xfrm>
        <a:prstGeom prst="roundRect">
          <a:avLst>
            <a:gd name="adj" fmla="val 11539"/>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Profit</a:t>
          </a:r>
          <a:r>
            <a:rPr lang="en-US" sz="12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Margin</a:t>
          </a:r>
          <a:endParaRPr lang="en-US" sz="1200" b="0" i="0" u="none" strike="noStrike">
            <a:solidFill>
              <a:srgbClr val="000000"/>
            </a:solidFill>
            <a:latin typeface="Calibri"/>
            <a:ea typeface="Calibri"/>
            <a:cs typeface="Calibri"/>
          </a:endParaRPr>
        </a:p>
        <a:p>
          <a:pPr algn="l"/>
          <a:r>
            <a:rPr lang="en-US" sz="1200" b="0" i="0" u="none" strike="noStrike" baseline="0">
              <a:solidFill>
                <a:srgbClr val="000000"/>
              </a:solidFill>
              <a:latin typeface="Calibri"/>
              <a:ea typeface="Calibri"/>
              <a:cs typeface="Calibri"/>
            </a:rPr>
            <a:t>      </a:t>
          </a:r>
          <a:fld id="{11C3DF77-1C06-415D-8701-70BE2CC3584A}" type="TxLink">
            <a:rPr lang="en-US" sz="1600" b="0" i="0" u="none" strike="noStrike">
              <a:solidFill>
                <a:srgbClr val="000000"/>
              </a:solidFill>
              <a:latin typeface="Calibri"/>
              <a:ea typeface="Calibri"/>
              <a:cs typeface="Calibri"/>
            </a:rPr>
            <a:pPr algn="l"/>
            <a:t>16.13%</a:t>
          </a:fld>
          <a:endParaRPr lang="en-IN" sz="1100"/>
        </a:p>
      </xdr:txBody>
    </xdr:sp>
    <xdr:clientData/>
  </xdr:twoCellAnchor>
  <xdr:twoCellAnchor>
    <xdr:from>
      <xdr:col>6</xdr:col>
      <xdr:colOff>393700</xdr:colOff>
      <xdr:row>9</xdr:row>
      <xdr:rowOff>69850</xdr:rowOff>
    </xdr:from>
    <xdr:to>
      <xdr:col>12</xdr:col>
      <xdr:colOff>279400</xdr:colOff>
      <xdr:row>16</xdr:row>
      <xdr:rowOff>69850</xdr:rowOff>
    </xdr:to>
    <xdr:graphicFrame macro="">
      <xdr:nvGraphicFramePr>
        <xdr:cNvPr id="17" name="Chart 16">
          <a:extLst>
            <a:ext uri="{FF2B5EF4-FFF2-40B4-BE49-F238E27FC236}">
              <a16:creationId xmlns:a16="http://schemas.microsoft.com/office/drawing/2014/main" id="{4BA8D871-74FD-47F1-BD59-BA50D19D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495301</xdr:colOff>
      <xdr:row>17</xdr:row>
      <xdr:rowOff>6350</xdr:rowOff>
    </xdr:from>
    <xdr:to>
      <xdr:col>14</xdr:col>
      <xdr:colOff>400050</xdr:colOff>
      <xdr:row>24</xdr:row>
      <xdr:rowOff>127000</xdr:rowOff>
    </xdr:to>
    <xdr:graphicFrame macro="">
      <xdr:nvGraphicFramePr>
        <xdr:cNvPr id="18" name="Chart 17">
          <a:extLst>
            <a:ext uri="{FF2B5EF4-FFF2-40B4-BE49-F238E27FC236}">
              <a16:creationId xmlns:a16="http://schemas.microsoft.com/office/drawing/2014/main" id="{7D92BDC8-9087-476F-829A-B5AD790AC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k" refreshedDate="46164.941516435189" createdVersion="8" refreshedVersion="8" minRefreshableVersion="3" recordCount="1000" xr:uid="{0E47CBA3-EA39-4959-BEC6-AC246B24DEAF}">
  <cacheSource type="worksheet">
    <worksheetSource ref="A1:M1001" sheet="Sales_Data"/>
  </cacheSource>
  <cacheFields count="13">
    <cacheField name="Order_ID" numFmtId="0">
      <sharedItems/>
    </cacheField>
    <cacheField name="Order_Date" numFmtId="14">
      <sharedItems/>
    </cacheField>
    <cacheField name="Region" numFmtId="0">
      <sharedItems count="4">
        <s v="West"/>
        <s v="North"/>
        <s v="East"/>
        <s v="South"/>
      </sharedItems>
    </cacheField>
    <cacheField name="Product" numFmtId="0">
      <sharedItems count="6">
        <s v="Monitor"/>
        <s v="Mobile"/>
        <s v="Keyboard"/>
        <s v="Printer"/>
        <s v="Tablet"/>
        <s v="Laptop"/>
      </sharedItems>
    </cacheField>
    <cacheField name="Category" numFmtId="0">
      <sharedItems/>
    </cacheField>
    <cacheField name="Sales_Amount" numFmtId="0">
      <sharedItems containsSemiMixedTypes="0" containsString="0" containsNumber="1" minValue="846.08" maxValue="49987.59"/>
    </cacheField>
    <cacheField name="Profit" numFmtId="0">
      <sharedItems containsSemiMixedTypes="0" containsString="0" containsNumber="1" minValue="54.76" maxValue="14320.8"/>
    </cacheField>
    <cacheField name="Quantity" numFmtId="0">
      <sharedItems containsSemiMixedTypes="0" containsString="0" containsNumber="1" containsInteger="1" minValue="1" maxValue="20"/>
    </cacheField>
    <cacheField name="Margin" numFmtId="0">
      <sharedItems containsSemiMixedTypes="0" containsString="0" containsNumber="1" minValue="697.63000000000011" maxValue="46836.31"/>
    </cacheField>
    <cacheField name="Months" numFmtId="0">
      <sharedItems/>
    </cacheField>
    <cacheField name="Average Margin Profit" numFmtId="10">
      <sharedItems containsSemiMixedTypes="0" containsString="0" containsNumber="1" minValue="0.70013841211802952" maxValue="0.94959621159428742"/>
    </cacheField>
    <cacheField name="Total Quantity Sold" numFmtId="0">
      <sharedItems containsString="0" containsBlank="1" containsNumber="1" containsInteger="1" minValue="10518" maxValue="10518"/>
    </cacheField>
    <cacheField name="Total sales" numFmtId="0">
      <sharedItems containsString="0" containsBlank="1" containsNumber="1" minValue="25438225.669999931" maxValue="25438225.66999993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k" refreshedDate="46164.943978935182" createdVersion="8" refreshedVersion="8" minRefreshableVersion="3" recordCount="1000" xr:uid="{F30B792B-05C1-48E1-A891-FD3A95E3D358}">
  <cacheSource type="worksheet">
    <worksheetSource ref="A1:K1001" sheet="Sales_Data"/>
  </cacheSource>
  <cacheFields count="11">
    <cacheField name="Order_ID" numFmtId="0">
      <sharedItems/>
    </cacheField>
    <cacheField name="Order_Date" numFmtId="14">
      <sharedItems/>
    </cacheField>
    <cacheField name="Region" numFmtId="0">
      <sharedItems count="4">
        <s v="West"/>
        <s v="North"/>
        <s v="East"/>
        <s v="South"/>
      </sharedItems>
    </cacheField>
    <cacheField name="Product" numFmtId="0">
      <sharedItems count="6">
        <s v="Monitor"/>
        <s v="Mobile"/>
        <s v="Keyboard"/>
        <s v="Printer"/>
        <s v="Tablet"/>
        <s v="Laptop"/>
      </sharedItems>
    </cacheField>
    <cacheField name="Category" numFmtId="0">
      <sharedItems count="3">
        <s v="Office Supplies"/>
        <s v="Accessories"/>
        <s v="Electronics"/>
      </sharedItems>
    </cacheField>
    <cacheField name="Sales_Amount" numFmtId="0">
      <sharedItems containsSemiMixedTypes="0" containsString="0" containsNumber="1" minValue="846.08" maxValue="49987.59" count="1000">
        <n v="3904.09"/>
        <n v="46461.3"/>
        <n v="2962.09"/>
        <n v="39743.42"/>
        <n v="45304.41"/>
        <n v="17081.830000000002"/>
        <n v="41277.43"/>
        <n v="34884.160000000003"/>
        <n v="45690.74"/>
        <n v="34663.14"/>
        <n v="15282.56"/>
        <n v="18612.89"/>
        <n v="23741.89"/>
        <n v="22416.32"/>
        <n v="35291.17"/>
        <n v="27372.94"/>
        <n v="9548.91"/>
        <n v="37669.339999999997"/>
        <n v="22704.22"/>
        <n v="46830.48"/>
        <n v="20644.86"/>
        <n v="31132.5"/>
        <n v="48773.99"/>
        <n v="45825.65"/>
        <n v="44050.01"/>
        <n v="9137.8700000000008"/>
        <n v="48181.66"/>
        <n v="12947.11"/>
        <n v="12397.58"/>
        <n v="17122.349999999999"/>
        <n v="27048.17"/>
        <n v="47044.83"/>
        <n v="37307.31"/>
        <n v="43007.18"/>
        <n v="19566.79"/>
        <n v="19215.43"/>
        <n v="29103.65"/>
        <n v="33067.360000000001"/>
        <n v="12043.18"/>
        <n v="25401.200000000001"/>
        <n v="35522.160000000003"/>
        <n v="10769.06"/>
        <n v="49786.92"/>
        <n v="30718.29"/>
        <n v="20906.330000000002"/>
        <n v="32340.38"/>
        <n v="45777.01"/>
        <n v="31580.19"/>
        <n v="36861.22"/>
        <n v="24201.61"/>
        <n v="48379.37"/>
        <n v="36360.89"/>
        <n v="36121.089999999997"/>
        <n v="31930.240000000002"/>
        <n v="16098.37"/>
        <n v="31722.62"/>
        <n v="22552.28"/>
        <n v="940.13"/>
        <n v="32803.26"/>
        <n v="39530.94"/>
        <n v="34743.26"/>
        <n v="44841.57"/>
        <n v="38553.17"/>
        <n v="37152.83"/>
        <n v="48189"/>
        <n v="22347.040000000001"/>
        <n v="28237.18"/>
        <n v="47502.9"/>
        <n v="31477.3"/>
        <n v="22833.31"/>
        <n v="10467.469999999999"/>
        <n v="48530.71"/>
        <n v="43350.03"/>
        <n v="17951.150000000001"/>
        <n v="27086.02"/>
        <n v="16807.07"/>
        <n v="7959.49"/>
        <n v="19637.509999999998"/>
        <n v="14965.8"/>
        <n v="23020.720000000001"/>
        <n v="12018.19"/>
        <n v="3320.43"/>
        <n v="37449.99"/>
        <n v="6307.85"/>
        <n v="21611.85"/>
        <n v="31830.54"/>
        <n v="14200.17"/>
        <n v="27669.8"/>
        <n v="35659.53"/>
        <n v="38007.19"/>
        <n v="39601.160000000003"/>
        <n v="13524.33"/>
        <n v="49667.65"/>
        <n v="6096.08"/>
        <n v="23802.79"/>
        <n v="38489.49"/>
        <n v="38229.29"/>
        <n v="38827.33"/>
        <n v="33525.65"/>
        <n v="49865.93"/>
        <n v="3717.95"/>
        <n v="19210.68"/>
        <n v="29629.06"/>
        <n v="48464.4"/>
        <n v="37477.65"/>
        <n v="19083.93"/>
        <n v="14577.96"/>
        <n v="19507.740000000002"/>
        <n v="12146.79"/>
        <n v="46727.98"/>
        <n v="7234.37"/>
        <n v="35123.300000000003"/>
        <n v="18668.740000000002"/>
        <n v="9516.8799999999992"/>
        <n v="49756.84"/>
        <n v="28733.22"/>
        <n v="17181.060000000001"/>
        <n v="15411.59"/>
        <n v="14577.8"/>
        <n v="45637.5"/>
        <n v="42770.53"/>
        <n v="40116.51"/>
        <n v="4224.42"/>
        <n v="38631.39"/>
        <n v="48647.13"/>
        <n v="37595.35"/>
        <n v="16237.68"/>
        <n v="8686.6200000000008"/>
        <n v="6642.45"/>
        <n v="25425.91"/>
        <n v="19773.060000000001"/>
        <n v="7766.31"/>
        <n v="34275.550000000003"/>
        <n v="6541.94"/>
        <n v="17652.810000000001"/>
        <n v="35072.379999999997"/>
        <n v="26174.04"/>
        <n v="21670.41"/>
        <n v="25694.16"/>
        <n v="44147.31"/>
        <n v="38805.96"/>
        <n v="11423.56"/>
        <n v="35898.400000000001"/>
        <n v="41960.31"/>
        <n v="24473.78"/>
        <n v="35346.49"/>
        <n v="4240.8599999999997"/>
        <n v="26188.49"/>
        <n v="21891.63"/>
        <n v="16356.59"/>
        <n v="8963.94"/>
        <n v="27209.4"/>
        <n v="16711.759999999998"/>
        <n v="43269.16"/>
        <n v="10691.22"/>
        <n v="49261.72"/>
        <n v="32011.54"/>
        <n v="10602.35"/>
        <n v="31405.71"/>
        <n v="23591.54"/>
        <n v="48811.44"/>
        <n v="43895.85"/>
        <n v="29044.73"/>
        <n v="37124.06"/>
        <n v="20342.25"/>
        <n v="11149.82"/>
        <n v="29951.19"/>
        <n v="27656.400000000001"/>
        <n v="12632.81"/>
        <n v="47397.42"/>
        <n v="44827.3"/>
        <n v="45577.26"/>
        <n v="23654.41"/>
        <n v="14279.39"/>
        <n v="40833.589999999997"/>
        <n v="43524.5"/>
        <n v="12738.26"/>
        <n v="10228.52"/>
        <n v="43865.22"/>
        <n v="6272.25"/>
        <n v="3009.58"/>
        <n v="14020.62"/>
        <n v="38450.79"/>
        <n v="46218.62"/>
        <n v="47333.43"/>
        <n v="14911.18"/>
        <n v="45463.37"/>
        <n v="30549.79"/>
        <n v="8391.06"/>
        <n v="6222.57"/>
        <n v="34691.379999999997"/>
        <n v="19329.900000000001"/>
        <n v="22963.71"/>
        <n v="47608.08"/>
        <n v="23920.37"/>
        <n v="11883.72"/>
        <n v="47600.9"/>
        <n v="11295.96"/>
        <n v="22757.73"/>
        <n v="23575.15"/>
        <n v="8507.73"/>
        <n v="38739.64"/>
        <n v="874.21"/>
        <n v="35821.5"/>
        <n v="43278.6"/>
        <n v="43833.53"/>
        <n v="17071.04"/>
        <n v="42417.9"/>
        <n v="26667.1"/>
        <n v="28323.69"/>
        <n v="34137.300000000003"/>
        <n v="46632.74"/>
        <n v="44155.18"/>
        <n v="2204.27"/>
        <n v="24264.720000000001"/>
        <n v="38080.639999999999"/>
        <n v="8469.3700000000008"/>
        <n v="32087.14"/>
        <n v="3595.36"/>
        <n v="8850.56"/>
        <n v="21248.27"/>
        <n v="39517.129999999997"/>
        <n v="33115.42"/>
        <n v="31048.5"/>
        <n v="30832.78"/>
        <n v="38104.18"/>
        <n v="20902.68"/>
        <n v="26079.56"/>
        <n v="846.08"/>
        <n v="27250.47"/>
        <n v="5533.46"/>
        <n v="12625.43"/>
        <n v="5600.94"/>
        <n v="21529.67"/>
        <n v="40111.79"/>
        <n v="34782.089999999997"/>
        <n v="36364.18"/>
        <n v="29004.05"/>
        <n v="16065.58"/>
        <n v="12711.71"/>
        <n v="36732.959999999999"/>
        <n v="5830.72"/>
        <n v="36753.03"/>
        <n v="13629.5"/>
        <n v="19473.39"/>
        <n v="17455.849999999999"/>
        <n v="15281.49"/>
        <n v="35395.949999999997"/>
        <n v="2212.91"/>
        <n v="5025.83"/>
        <n v="22712.09"/>
        <n v="43086.36"/>
        <n v="20882.27"/>
        <n v="28608.71"/>
        <n v="26276.959999999999"/>
        <n v="10402.86"/>
        <n v="6274.34"/>
        <n v="49654.91"/>
        <n v="22842.65"/>
        <n v="10932.07"/>
        <n v="34601.83"/>
        <n v="18881.41"/>
        <n v="23478.97"/>
        <n v="16581.07"/>
        <n v="17608.240000000002"/>
        <n v="17533.97"/>
        <n v="19665.41"/>
        <n v="32231.97"/>
        <n v="17848.86"/>
        <n v="28474.87"/>
        <n v="21479.81"/>
        <n v="16950.32"/>
        <n v="49411.65"/>
        <n v="16108.5"/>
        <n v="15063.21"/>
        <n v="28365.86"/>
        <n v="29568.799999999999"/>
        <n v="45280.84"/>
        <n v="21498.22"/>
        <n v="4836.17"/>
        <n v="916.78"/>
        <n v="14122.14"/>
        <n v="39176.019999999997"/>
        <n v="8602.0400000000009"/>
        <n v="2968.44"/>
        <n v="24986.93"/>
        <n v="17091.099999999999"/>
        <n v="31387.77"/>
        <n v="9624.5300000000007"/>
        <n v="40396.54"/>
        <n v="26201.14"/>
        <n v="31366.65"/>
        <n v="14415.05"/>
        <n v="17434.14"/>
        <n v="35419.71"/>
        <n v="35922.699999999997"/>
        <n v="44502.31"/>
        <n v="8157.4"/>
        <n v="3249.71"/>
        <n v="22100.49"/>
        <n v="13781.09"/>
        <n v="26619.52"/>
        <n v="19248.16"/>
        <n v="42335.839999999997"/>
        <n v="21811.86"/>
        <n v="38541.75"/>
        <n v="23763.66"/>
        <n v="34077.870000000003"/>
        <n v="6145.37"/>
        <n v="24325.27"/>
        <n v="41029.949999999997"/>
        <n v="35891.61"/>
        <n v="42599.92"/>
        <n v="4871.21"/>
        <n v="37015.4"/>
        <n v="22630.67"/>
        <n v="4733.58"/>
        <n v="1984.74"/>
        <n v="14956.17"/>
        <n v="11164.69"/>
        <n v="44344.86"/>
        <n v="8943.92"/>
        <n v="12435.23"/>
        <n v="30825.8"/>
        <n v="21350.6"/>
        <n v="19806.18"/>
        <n v="13391.51"/>
        <n v="7484.56"/>
        <n v="49048.24"/>
        <n v="48923.43"/>
        <n v="5628.72"/>
        <n v="38163.82"/>
        <n v="27799.3"/>
        <n v="19985.240000000002"/>
        <n v="40078.21"/>
        <n v="11026.52"/>
        <n v="16235.67"/>
        <n v="15555.08"/>
        <n v="12054.96"/>
        <n v="12047.47"/>
        <n v="20202.55"/>
        <n v="46862.64"/>
        <n v="41015.480000000003"/>
        <n v="27815.89"/>
        <n v="29139.29"/>
        <n v="34755.01"/>
        <n v="33539.51"/>
        <n v="9956.89"/>
        <n v="28277.439999999999"/>
        <n v="18733.419999999998"/>
        <n v="10645.85"/>
        <n v="19637.5"/>
        <n v="25999.69"/>
        <n v="47138.92"/>
        <n v="33064.29"/>
        <n v="5294.97"/>
        <n v="18419.82"/>
        <n v="49940.45"/>
        <n v="23830.17"/>
        <n v="1698.56"/>
        <n v="42920.9"/>
        <n v="37332.39"/>
        <n v="2876.83"/>
        <n v="33352.480000000003"/>
        <n v="36437.42"/>
        <n v="11992.71"/>
        <n v="20919.099999999999"/>
        <n v="32884.910000000003"/>
        <n v="15370.79"/>
        <n v="4711.55"/>
        <n v="34137.85"/>
        <n v="35407.78"/>
        <n v="6969.07"/>
        <n v="38914.29"/>
        <n v="36183.85"/>
        <n v="15087.89"/>
        <n v="26904.02"/>
        <n v="39824.78"/>
        <n v="23500.35"/>
        <n v="25386.86"/>
        <n v="29309.75"/>
        <n v="15189.95"/>
        <n v="20924.810000000001"/>
        <n v="42391.199999999997"/>
        <n v="41140.46"/>
        <n v="22931.93"/>
        <n v="42338.49"/>
        <n v="24223.46"/>
        <n v="12694.08"/>
        <n v="19773.7"/>
        <n v="21074.09"/>
        <n v="45445.279999999999"/>
        <n v="29264.52"/>
        <n v="31927.5"/>
        <n v="16086.65"/>
        <n v="8000.67"/>
        <n v="15375.84"/>
        <n v="47536.52"/>
        <n v="20985.67"/>
        <n v="29367.02"/>
        <n v="12411.95"/>
        <n v="13560.41"/>
        <n v="8510.9500000000007"/>
        <n v="12439.57"/>
        <n v="48697.38"/>
        <n v="43189.86"/>
        <n v="45494.89"/>
        <n v="21403.73"/>
        <n v="5295.63"/>
        <n v="1635.49"/>
        <n v="24774.06"/>
        <n v="29877.23"/>
        <n v="9698.23"/>
        <n v="9145.15"/>
        <n v="36555.47"/>
        <n v="26738.94"/>
        <n v="3589.95"/>
        <n v="28565.53"/>
        <n v="20508.689999999999"/>
        <n v="4719.7700000000004"/>
        <n v="34416.160000000003"/>
        <n v="15173.03"/>
        <n v="1922.52"/>
        <n v="11571.11"/>
        <n v="46635.06"/>
        <n v="49371.7"/>
        <n v="35477.64"/>
        <n v="29608.36"/>
        <n v="19136.740000000002"/>
        <n v="36377.050000000003"/>
        <n v="20741"/>
        <n v="17619.75"/>
        <n v="15393.62"/>
        <n v="5118.72"/>
        <n v="45512.94"/>
        <n v="26667.54"/>
        <n v="6574.85"/>
        <n v="19872.62"/>
        <n v="10658.61"/>
        <n v="23127.72"/>
        <n v="41229.199999999997"/>
        <n v="8388.11"/>
        <n v="22052.02"/>
        <n v="1000.33"/>
        <n v="12161.51"/>
        <n v="25052.54"/>
        <n v="26836.03"/>
        <n v="8240.83"/>
        <n v="35238.61"/>
        <n v="14497.37"/>
        <n v="4167.96"/>
        <n v="29185.97"/>
        <n v="991.55"/>
        <n v="29387.54"/>
        <n v="32591.599999999999"/>
        <n v="44875.76"/>
        <n v="13305.1"/>
        <n v="24946.720000000001"/>
        <n v="23493.49"/>
        <n v="39325.31"/>
        <n v="26704.78"/>
        <n v="6859.92"/>
        <n v="4691.7299999999996"/>
        <n v="6227.52"/>
        <n v="15717.32"/>
        <n v="14527.31"/>
        <n v="6240.77"/>
        <n v="15974.69"/>
        <n v="18886.810000000001"/>
        <n v="15884.71"/>
        <n v="2433.7399999999998"/>
        <n v="2800.81"/>
        <n v="34364.800000000003"/>
        <n v="18199.03"/>
        <n v="18918.68"/>
        <n v="40487.519999999997"/>
        <n v="42415.07"/>
        <n v="18372.78"/>
        <n v="40070.370000000003"/>
        <n v="25632.15"/>
        <n v="10858.98"/>
        <n v="15597"/>
        <n v="7034.36"/>
        <n v="45584.92"/>
        <n v="16665.38"/>
        <n v="2825.35"/>
        <n v="5448.18"/>
        <n v="17166.29"/>
        <n v="22337.49"/>
        <n v="41749.279999999999"/>
        <n v="25452.21"/>
        <n v="37494.1"/>
        <n v="46869.29"/>
        <n v="38675.839999999997"/>
        <n v="26449.61"/>
        <n v="21801.11"/>
        <n v="38238.51"/>
        <n v="22443.02"/>
        <n v="38223.26"/>
        <n v="48433.84"/>
        <n v="2932.33"/>
        <n v="43791.839999999997"/>
        <n v="20821.189999999999"/>
        <n v="26625.040000000001"/>
        <n v="32795.82"/>
        <n v="14682.67"/>
        <n v="8498.07"/>
        <n v="1582.28"/>
        <n v="45499.95"/>
        <n v="26049.41"/>
        <n v="15005.54"/>
        <n v="48189.98"/>
        <n v="25016.97"/>
        <n v="33862.36"/>
        <n v="17714.62"/>
        <n v="1447.94"/>
        <n v="2175.9499999999998"/>
        <n v="32410.71"/>
        <n v="889.94"/>
        <n v="48058.03"/>
        <n v="3967.07"/>
        <n v="38053.75"/>
        <n v="38215.199999999997"/>
        <n v="36964.69"/>
        <n v="11863.64"/>
        <n v="16711.740000000002"/>
        <n v="36193.160000000003"/>
        <n v="16510.03"/>
        <n v="8875.24"/>
        <n v="23697.53"/>
        <n v="40581.07"/>
        <n v="37960.730000000003"/>
        <n v="9109.94"/>
        <n v="23600.02"/>
        <n v="14264.95"/>
        <n v="39882.29"/>
        <n v="39487.33"/>
        <n v="23735.599999999999"/>
        <n v="16813.27"/>
        <n v="10888.32"/>
        <n v="33935.68"/>
        <n v="23315.15"/>
        <n v="31903.59"/>
        <n v="1697.09"/>
        <n v="10953.88"/>
        <n v="3947.77"/>
        <n v="12767.38"/>
        <n v="8432.7000000000007"/>
        <n v="42338.66"/>
        <n v="30714.19"/>
        <n v="47760.77"/>
        <n v="29275.99"/>
        <n v="42211.71"/>
        <n v="10455.39"/>
        <n v="3313"/>
        <n v="44960.06"/>
        <n v="21467.79"/>
        <n v="39531.629999999997"/>
        <n v="1749.79"/>
        <n v="45985.440000000002"/>
        <n v="45590.16"/>
        <n v="17766.169999999998"/>
        <n v="23165.4"/>
        <n v="14552.06"/>
        <n v="14539.63"/>
        <n v="11555.25"/>
        <n v="9894.85"/>
        <n v="35177.699999999997"/>
        <n v="46072.62"/>
        <n v="43875.23"/>
        <n v="19911.849999999999"/>
        <n v="10691.85"/>
        <n v="47520.44"/>
        <n v="40400.42"/>
        <n v="38152.239999999998"/>
        <n v="26275.18"/>
        <n v="43370.96"/>
        <n v="9848.39"/>
        <n v="37425.17"/>
        <n v="23400.18"/>
        <n v="23393.39"/>
        <n v="32845.199999999997"/>
        <n v="9697.74"/>
        <n v="31312.84"/>
        <n v="19556.34"/>
        <n v="34685.96"/>
        <n v="22059.15"/>
        <n v="37533.040000000001"/>
        <n v="40365.910000000003"/>
        <n v="6412.11"/>
        <n v="17577.66"/>
        <n v="2775.22"/>
        <n v="20809.32"/>
        <n v="34638.160000000003"/>
        <n v="45165.56"/>
        <n v="26525.87"/>
        <n v="5086.8900000000003"/>
        <n v="5135.42"/>
        <n v="43558.79"/>
        <n v="27665.360000000001"/>
        <n v="38764.79"/>
        <n v="38143.660000000003"/>
        <n v="11520.01"/>
        <n v="37834.660000000003"/>
        <n v="6152.69"/>
        <n v="17618.89"/>
        <n v="36664.120000000003"/>
        <n v="19170.87"/>
        <n v="38225.03"/>
        <n v="16928.919999999998"/>
        <n v="17480.53"/>
        <n v="47445.49"/>
        <n v="35061.25"/>
        <n v="49767.02"/>
        <n v="29439.45"/>
        <n v="26487.439999999999"/>
        <n v="36409.279999999999"/>
        <n v="41965.89"/>
        <n v="35524.25"/>
        <n v="6069.71"/>
        <n v="1112.67"/>
        <n v="33391.480000000003"/>
        <n v="33111.32"/>
        <n v="17573.89"/>
        <n v="19059.73"/>
        <n v="48100.61"/>
        <n v="17101.400000000001"/>
        <n v="29158.68"/>
        <n v="13783.73"/>
        <n v="42827.24"/>
        <n v="3492.92"/>
        <n v="48085.18"/>
        <n v="9046.08"/>
        <n v="11335.69"/>
        <n v="45596.23"/>
        <n v="47947.41"/>
        <n v="25542.41"/>
        <n v="15934.83"/>
        <n v="47038.720000000001"/>
        <n v="38466.06"/>
        <n v="20628.169999999998"/>
        <n v="18567.740000000002"/>
        <n v="43626.64"/>
        <n v="27930.76"/>
        <n v="35894.31"/>
        <n v="16165.67"/>
        <n v="9263.2800000000007"/>
        <n v="39628.86"/>
        <n v="1901.76"/>
        <n v="22328.959999999999"/>
        <n v="6981.53"/>
        <n v="5201.37"/>
        <n v="26977.57"/>
        <n v="28417.89"/>
        <n v="17313.240000000002"/>
        <n v="39503.64"/>
        <n v="31319.94"/>
        <n v="1317.35"/>
        <n v="996.34"/>
        <n v="18528.86"/>
        <n v="31506.9"/>
        <n v="44462.9"/>
        <n v="14932.52"/>
        <n v="7667.46"/>
        <n v="38004.1"/>
        <n v="35561.51"/>
        <n v="19851.400000000001"/>
        <n v="49405.33"/>
        <n v="12690.36"/>
        <n v="47241.89"/>
        <n v="38664.800000000003"/>
        <n v="9443.32"/>
        <n v="49087.99"/>
        <n v="17943.009999999998"/>
        <n v="37596.769999999997"/>
        <n v="15499.28"/>
        <n v="2414.27"/>
        <n v="11238.04"/>
        <n v="35493.269999999997"/>
        <n v="17397.07"/>
        <n v="23520.73"/>
        <n v="1934.8"/>
        <n v="27939.4"/>
        <n v="26975.89"/>
        <n v="8552.0300000000007"/>
        <n v="27324.03"/>
        <n v="2373.77"/>
        <n v="7299.4"/>
        <n v="27223.31"/>
        <n v="16223.42"/>
        <n v="33870.050000000003"/>
        <n v="14295.54"/>
        <n v="7553.46"/>
        <n v="16511.240000000002"/>
        <n v="17335.740000000002"/>
        <n v="35358.11"/>
        <n v="48402.29"/>
        <n v="40325.08"/>
        <n v="32346.65"/>
        <n v="10134.49"/>
        <n v="31613.45"/>
        <n v="43463.4"/>
        <n v="22230.16"/>
        <n v="49805.15"/>
        <n v="36831.53"/>
        <n v="43765.120000000003"/>
        <n v="9248.6299999999992"/>
        <n v="31749.71"/>
        <n v="4890.72"/>
        <n v="1646.73"/>
        <n v="49198.13"/>
        <n v="19176.71"/>
        <n v="13148.43"/>
        <n v="9230.31"/>
        <n v="15076.05"/>
        <n v="8138.26"/>
        <n v="37478.14"/>
        <n v="45509.06"/>
        <n v="26636.97"/>
        <n v="10390.82"/>
        <n v="23378.86"/>
        <n v="48846.49"/>
        <n v="29856.05"/>
        <n v="29848.1"/>
        <n v="13007.42"/>
        <n v="31179.69"/>
        <n v="3940.31"/>
        <n v="7116.93"/>
        <n v="6217.99"/>
        <n v="49435.67"/>
        <n v="40936.080000000002"/>
        <n v="14322.99"/>
        <n v="40657.699999999997"/>
        <n v="39662.25"/>
        <n v="14863.94"/>
        <n v="49623.61"/>
        <n v="27989.55"/>
        <n v="20764.45"/>
        <n v="45829.79"/>
        <n v="28541.81"/>
        <n v="21100.38"/>
        <n v="11428.24"/>
        <n v="23336.28"/>
        <n v="36928.82"/>
        <n v="35491.71"/>
        <n v="13661.78"/>
        <n v="23143.9"/>
        <n v="49987.59"/>
        <n v="13416.83"/>
        <n v="6288.6"/>
        <n v="29288.720000000001"/>
        <n v="35002.42"/>
        <n v="19783.099999999999"/>
        <n v="5075.1099999999997"/>
        <n v="36572"/>
        <n v="3790.17"/>
        <n v="48503.5"/>
        <n v="31703.95"/>
        <n v="33573.629999999997"/>
        <n v="24843.61"/>
        <n v="19438.990000000002"/>
        <n v="18598.54"/>
        <n v="35477.61"/>
        <n v="7595.62"/>
        <n v="13006.99"/>
        <n v="22614.73"/>
        <n v="39774.74"/>
        <n v="1936.7"/>
        <n v="18612.14"/>
        <n v="9761.8799999999992"/>
        <n v="34018"/>
        <n v="40371.18"/>
        <n v="4402.3900000000003"/>
        <n v="24247.95"/>
        <n v="3541.97"/>
        <n v="20519.18"/>
        <n v="30938.1"/>
        <n v="32486.7"/>
        <n v="11854.67"/>
        <n v="23357.62"/>
        <n v="45322.46"/>
        <n v="41853.86"/>
        <n v="5473.66"/>
        <n v="21064.47"/>
        <n v="28155.33"/>
        <n v="26618.28"/>
        <n v="27826.31"/>
        <n v="1995.08"/>
        <n v="2948.43"/>
        <n v="26346.080000000002"/>
        <n v="13578.18"/>
        <n v="34344.68"/>
        <n v="15355.26"/>
        <n v="7799.47"/>
        <n v="13740.97"/>
        <n v="23747.45"/>
        <n v="9717.44"/>
        <n v="49140.23"/>
        <n v="35745.07"/>
        <n v="13987.73"/>
        <n v="25251.02"/>
        <n v="49938.35"/>
        <n v="36453.67"/>
        <n v="23821.439999999999"/>
        <n v="39465.47"/>
        <n v="24285.74"/>
        <n v="19290.02"/>
        <n v="28038.81"/>
        <n v="5883.11"/>
        <n v="42078.31"/>
        <n v="47180.88"/>
        <n v="14242.95"/>
        <n v="37537.4"/>
        <n v="40970.019999999997"/>
        <n v="38492.79"/>
        <n v="10623.83"/>
        <n v="5963.51"/>
        <n v="7293.86"/>
        <n v="44709.02"/>
        <n v="37694.870000000003"/>
        <n v="43520.83"/>
        <n v="20215.810000000001"/>
        <n v="7439.75"/>
        <n v="25572.07"/>
        <n v="18540.04"/>
        <n v="14860.91"/>
        <n v="23697.919999999998"/>
        <n v="23180.11"/>
        <n v="17256.61"/>
        <n v="26585.08"/>
        <n v="40238.5"/>
        <n v="10732.71"/>
        <n v="28477.53"/>
        <n v="20979.97"/>
        <n v="5686.64"/>
        <n v="25739.119999999999"/>
        <n v="20616.53"/>
        <n v="15915.51"/>
        <n v="41000.949999999997"/>
        <n v="11171.58"/>
        <n v="43871.08"/>
        <n v="45645.59"/>
        <n v="13198.89"/>
        <n v="49886.01"/>
        <n v="24242.44"/>
        <n v="25447.25"/>
        <n v="4769.55"/>
        <n v="20050.86"/>
        <n v="29405.83"/>
        <n v="43700.4"/>
        <n v="47524.959999999999"/>
        <n v="21230.63"/>
        <n v="40582.25"/>
        <n v="31949.27"/>
        <n v="46302.92"/>
        <n v="33094.629999999997"/>
        <n v="37448.69"/>
        <n v="45008.74"/>
        <n v="28792.14"/>
        <n v="1359.63"/>
        <n v="33003.69"/>
        <n v="39403.33"/>
        <n v="25620.73"/>
        <n v="11627.97"/>
        <n v="12809.89"/>
        <n v="43375.69"/>
        <n v="38730.78"/>
        <n v="28147.72"/>
        <n v="32337.31"/>
        <n v="47774.239999999998"/>
        <n v="29756.39"/>
        <n v="20401.36"/>
        <n v="6072.1"/>
        <n v="34376.870000000003"/>
        <n v="25067"/>
        <n v="26722.81"/>
        <n v="49572.4"/>
        <n v="17086.509999999998"/>
        <n v="28338.29"/>
        <n v="13659.09"/>
        <n v="39034.199999999997"/>
        <n v="31290.69"/>
        <n v="24972.9"/>
        <n v="34671.300000000003"/>
        <n v="41889.33"/>
        <n v="17209.86"/>
        <n v="48914.74"/>
        <n v="43162.25"/>
        <n v="34495.33"/>
        <n v="9472.5300000000007"/>
        <n v="27667.35"/>
        <n v="37687.89"/>
        <n v="15994.29"/>
        <n v="30242.959999999999"/>
        <n v="32579.99"/>
        <n v="37707.97"/>
        <n v="2471.2399999999998"/>
        <n v="36593.19"/>
        <n v="11462"/>
        <n v="49864.11"/>
        <n v="27723.15"/>
        <n v="18589.810000000001"/>
        <n v="19358.16"/>
        <n v="46835.88"/>
        <n v="29752.2"/>
        <n v="32243.97"/>
        <n v="28730.639999999999"/>
        <n v="14698.46"/>
        <n v="29760.3"/>
        <n v="29062.65"/>
        <n v="42571.22"/>
        <n v="3034.97"/>
        <n v="7427.76"/>
        <n v="10553.04"/>
        <n v="2638.01"/>
        <n v="39221.49"/>
        <n v="22876.27"/>
        <n v="24741.360000000001"/>
        <n v="9536.2000000000007"/>
        <n v="23428.17"/>
        <n v="45353.89"/>
        <n v="39455.47"/>
        <n v="41531.46"/>
        <n v="27236.25"/>
        <n v="5715.25"/>
        <n v="41231.54"/>
        <n v="45217.1"/>
        <n v="40864.19"/>
        <n v="12609.07"/>
        <n v="32819.49"/>
        <n v="15246.15"/>
        <n v="24126.25"/>
        <n v="23088.36"/>
        <n v="21680.46"/>
        <n v="23330.71"/>
        <n v="24751.49"/>
        <n v="11215.25"/>
        <n v="35586.74"/>
        <n v="21803"/>
        <n v="26579.87"/>
        <n v="20569.8"/>
        <n v="43991.92"/>
        <n v="11877.9"/>
        <n v="32842.22"/>
        <n v="39290.01"/>
        <n v="17645.66"/>
        <n v="48286.68"/>
        <n v="6644.53"/>
        <n v="25821.24"/>
        <n v="17905.04"/>
        <n v="6062.96"/>
        <n v="5758.38"/>
        <n v="32837.32"/>
        <n v="36405.22"/>
        <n v="30522.240000000002"/>
        <n v="45531.64"/>
        <n v="18941.75"/>
        <n v="40042.99"/>
        <n v="38762.54"/>
        <n v="27828.78"/>
        <n v="48953.54"/>
        <n v="49829.46"/>
        <n v="19357.849999999999"/>
        <n v="47200.55"/>
        <n v="12674.69"/>
        <n v="30946.67"/>
        <n v="41707.82"/>
        <n v="10557.63"/>
        <n v="939.55"/>
        <n v="16321.5"/>
        <n v="28107.29"/>
        <n v="12111.78"/>
        <n v="40386.79"/>
        <n v="12904.93"/>
        <n v="33413.64"/>
        <n v="42322.400000000001"/>
        <n v="9313.89"/>
        <n v="37514.17"/>
        <n v="3538.64"/>
        <n v="23138.55"/>
        <n v="20280.48"/>
        <n v="26503.69"/>
        <n v="23036.31"/>
        <n v="39902.5"/>
        <n v="49089.79"/>
        <n v="15222.53"/>
        <n v="25239.5"/>
        <n v="15990.89"/>
        <n v="35037.57"/>
        <n v="21763.39"/>
        <n v="20428.57"/>
        <n v="5783.16"/>
        <n v="48677.22"/>
        <n v="13738.3"/>
        <n v="7568.11"/>
        <n v="32199.53"/>
        <n v="5887.23"/>
        <n v="31924.080000000002"/>
        <n v="34325.75"/>
        <n v="28413.759999999998"/>
      </sharedItems>
    </cacheField>
    <cacheField name="Profit" numFmtId="0">
      <sharedItems containsSemiMixedTypes="0" containsString="0" containsNumber="1" minValue="54.76" maxValue="14320.8"/>
    </cacheField>
    <cacheField name="Quantity" numFmtId="0">
      <sharedItems containsSemiMixedTypes="0" containsString="0" containsNumber="1" containsInteger="1" minValue="1" maxValue="20"/>
    </cacheField>
    <cacheField name="Margin" numFmtId="0">
      <sharedItems containsSemiMixedTypes="0" containsString="0" containsNumber="1" minValue="697.63000000000011" maxValue="46836.31"/>
    </cacheField>
    <cacheField name="Months" numFmtId="0">
      <sharedItems count="12">
        <s v="August"/>
        <s v="April"/>
        <s v="July"/>
        <s v="September"/>
        <s v="June"/>
        <s v="October"/>
        <s v="November"/>
        <s v="May"/>
        <s v="January"/>
        <s v="March"/>
        <s v="February"/>
        <s v="December"/>
      </sharedItems>
    </cacheField>
    <cacheField name="Average Margin Profit" numFmtId="10">
      <sharedItems containsSemiMixedTypes="0" containsString="0" containsNumber="1" minValue="0.70013841211802952" maxValue="0.94959621159428742"/>
    </cacheField>
  </cacheFields>
  <extLst>
    <ext xmlns:x14="http://schemas.microsoft.com/office/spreadsheetml/2009/9/main" uri="{725AE2AE-9491-48be-B2B4-4EB974FC3084}">
      <x14:pivotCacheDefinition pivotCacheId="682069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5-08-19"/>
    <x v="0"/>
    <x v="0"/>
    <s v="Office Supplies"/>
    <n v="3904.09"/>
    <n v="658.34"/>
    <n v="6"/>
    <n v="3245.75"/>
    <s v="August"/>
    <n v="0.83137171530369425"/>
    <n v="10518"/>
    <n v="25438225.669999931"/>
  </r>
  <r>
    <s v="ORD00002"/>
    <s v="2025-08-28"/>
    <x v="1"/>
    <x v="1"/>
    <s v="Accessories"/>
    <n v="46461.3"/>
    <n v="6523.49"/>
    <n v="3"/>
    <n v="39937.810000000005"/>
    <s v="August"/>
    <n v="0.85959303764638528"/>
    <m/>
    <m/>
  </r>
  <r>
    <s v="ORD00003"/>
    <s v="2025-04-06"/>
    <x v="0"/>
    <x v="2"/>
    <s v="Electronics"/>
    <n v="2962.09"/>
    <n v="243.02"/>
    <n v="7"/>
    <n v="2719.07"/>
    <s v="April"/>
    <n v="0.91795657795678054"/>
    <m/>
    <m/>
  </r>
  <r>
    <s v="ORD00004"/>
    <s v="2025-07-18"/>
    <x v="0"/>
    <x v="3"/>
    <s v="Office Supplies"/>
    <n v="39743.42"/>
    <n v="7175.26"/>
    <n v="3"/>
    <n v="32568.159999999996"/>
    <s v="July"/>
    <n v="0.81946042892131576"/>
    <m/>
    <m/>
  </r>
  <r>
    <s v="ORD00005"/>
    <s v="2025-09-19"/>
    <x v="2"/>
    <x v="4"/>
    <s v="Accessories"/>
    <n v="45304.41"/>
    <n v="8895.3700000000008"/>
    <n v="20"/>
    <n v="36409.040000000001"/>
    <s v="September"/>
    <n v="0.80365333087882607"/>
    <m/>
    <m/>
  </r>
  <r>
    <s v="ORD00006"/>
    <s v="2025-06-24"/>
    <x v="3"/>
    <x v="5"/>
    <s v="Electronics"/>
    <n v="17081.830000000002"/>
    <n v="4638.62"/>
    <n v="18"/>
    <n v="12443.210000000003"/>
    <s v="June"/>
    <n v="0.72844712773748488"/>
    <m/>
    <m/>
  </r>
  <r>
    <s v="ORD00007"/>
    <s v="2025-10-04"/>
    <x v="3"/>
    <x v="5"/>
    <s v="Accessories"/>
    <n v="41277.43"/>
    <n v="2221.61"/>
    <n v="16"/>
    <n v="39055.82"/>
    <s v="October"/>
    <n v="0.9461785774938023"/>
    <m/>
    <m/>
  </r>
  <r>
    <s v="ORD00008"/>
    <s v="2025-11-20"/>
    <x v="2"/>
    <x v="4"/>
    <s v="Electronics"/>
    <n v="34884.160000000003"/>
    <n v="2633.32"/>
    <n v="20"/>
    <n v="32250.840000000004"/>
    <s v="November"/>
    <n v="0.92451244347004491"/>
    <m/>
    <m/>
  </r>
  <r>
    <s v="ORD00009"/>
    <s v="2025-05-28"/>
    <x v="2"/>
    <x v="1"/>
    <s v="Accessories"/>
    <n v="45690.74"/>
    <n v="8897.65"/>
    <n v="17"/>
    <n v="36793.089999999997"/>
    <s v="May"/>
    <n v="0.80526360483546555"/>
    <m/>
    <m/>
  </r>
  <r>
    <s v="ORD00010"/>
    <s v="2026-01-01"/>
    <x v="0"/>
    <x v="4"/>
    <s v="Office Supplies"/>
    <n v="34663.14"/>
    <n v="8499.91"/>
    <n v="15"/>
    <n v="26163.23"/>
    <s v="January"/>
    <n v="0.75478534258581309"/>
    <m/>
    <m/>
  </r>
  <r>
    <s v="ORD00011"/>
    <s v="2025-08-08"/>
    <x v="3"/>
    <x v="0"/>
    <s v="Office Supplies"/>
    <n v="15282.56"/>
    <n v="3238.89"/>
    <n v="20"/>
    <n v="12043.67"/>
    <s v="August"/>
    <n v="0.78806626638468946"/>
    <m/>
    <m/>
  </r>
  <r>
    <s v="ORD00012"/>
    <s v="2025-03-09"/>
    <x v="1"/>
    <x v="0"/>
    <s v="Office Supplies"/>
    <n v="18612.89"/>
    <n v="4955.78"/>
    <n v="2"/>
    <n v="13657.11"/>
    <s v="March"/>
    <n v="0.73374473281688124"/>
    <m/>
    <m/>
  </r>
  <r>
    <s v="ORD00013"/>
    <s v="2025-10-06"/>
    <x v="1"/>
    <x v="4"/>
    <s v="Office Supplies"/>
    <n v="23741.89"/>
    <n v="6054.66"/>
    <n v="19"/>
    <n v="17687.23"/>
    <s v="October"/>
    <n v="0.74497986470327338"/>
    <m/>
    <m/>
  </r>
  <r>
    <s v="ORD00014"/>
    <s v="2025-10-28"/>
    <x v="2"/>
    <x v="5"/>
    <s v="Office Supplies"/>
    <n v="22416.32"/>
    <n v="6447.31"/>
    <n v="5"/>
    <n v="15969.009999999998"/>
    <s v="October"/>
    <n v="0.71238321008979166"/>
    <m/>
    <m/>
  </r>
  <r>
    <s v="ORD00015"/>
    <s v="2025-06-01"/>
    <x v="2"/>
    <x v="4"/>
    <s v="Electronics"/>
    <n v="35291.17"/>
    <n v="7074.63"/>
    <n v="2"/>
    <n v="28216.539999999997"/>
    <s v="June"/>
    <n v="0.79953540786548016"/>
    <m/>
    <m/>
  </r>
  <r>
    <s v="ORD00016"/>
    <s v="2025-03-15"/>
    <x v="1"/>
    <x v="2"/>
    <s v="Accessories"/>
    <n v="27372.94"/>
    <n v="6513.98"/>
    <n v="8"/>
    <n v="20858.96"/>
    <s v="March"/>
    <n v="0.76202848506590815"/>
    <m/>
    <m/>
  </r>
  <r>
    <s v="ORD00017"/>
    <s v="2025-01-26"/>
    <x v="2"/>
    <x v="1"/>
    <s v="Accessories"/>
    <n v="9548.91"/>
    <n v="1983.86"/>
    <n v="1"/>
    <n v="7565.05"/>
    <s v="January"/>
    <n v="0.79224225592240372"/>
    <m/>
    <m/>
  </r>
  <r>
    <s v="ORD00018"/>
    <s v="2025-01-11"/>
    <x v="2"/>
    <x v="2"/>
    <s v="Office Supplies"/>
    <n v="37669.339999999997"/>
    <n v="5917.04"/>
    <n v="5"/>
    <n v="31752.299999999996"/>
    <s v="January"/>
    <n v="0.84292159087470075"/>
    <m/>
    <m/>
  </r>
  <r>
    <s v="ORD00019"/>
    <s v="2025-03-27"/>
    <x v="2"/>
    <x v="3"/>
    <s v="Office Supplies"/>
    <n v="22704.22"/>
    <n v="5162.6099999999997"/>
    <n v="8"/>
    <n v="17541.61"/>
    <s v="March"/>
    <n v="0.77261451835826112"/>
    <m/>
    <m/>
  </r>
  <r>
    <s v="ORD00020"/>
    <s v="2025-10-20"/>
    <x v="1"/>
    <x v="2"/>
    <s v="Accessories"/>
    <n v="46830.48"/>
    <n v="10744.52"/>
    <n v="13"/>
    <n v="36085.960000000006"/>
    <s v="October"/>
    <n v="0.77056566578006469"/>
    <m/>
    <m/>
  </r>
  <r>
    <s v="ORD00021"/>
    <s v="2025-01-08"/>
    <x v="0"/>
    <x v="1"/>
    <s v="Office Supplies"/>
    <n v="20644.86"/>
    <n v="4471.41"/>
    <n v="8"/>
    <n v="16173.45"/>
    <s v="January"/>
    <n v="0.78341291730726192"/>
    <m/>
    <m/>
  </r>
  <r>
    <s v="ORD00022"/>
    <s v="2025-02-19"/>
    <x v="0"/>
    <x v="2"/>
    <s v="Office Supplies"/>
    <n v="31132.5"/>
    <n v="4655.42"/>
    <n v="6"/>
    <n v="26477.08"/>
    <s v="February"/>
    <n v="0.85046430578976961"/>
    <m/>
    <m/>
  </r>
  <r>
    <s v="ORD00023"/>
    <s v="2025-01-17"/>
    <x v="2"/>
    <x v="5"/>
    <s v="Accessories"/>
    <n v="48773.99"/>
    <n v="13763.75"/>
    <n v="6"/>
    <n v="35010.239999999998"/>
    <s v="January"/>
    <n v="0.71780553528632784"/>
    <m/>
    <m/>
  </r>
  <r>
    <s v="ORD00024"/>
    <s v="2025-03-12"/>
    <x v="3"/>
    <x v="0"/>
    <s v="Office Supplies"/>
    <n v="45825.65"/>
    <n v="6998.31"/>
    <n v="2"/>
    <n v="38827.340000000004"/>
    <s v="March"/>
    <n v="0.84728399924496445"/>
    <m/>
    <m/>
  </r>
  <r>
    <s v="ORD00025"/>
    <s v="2025-10-23"/>
    <x v="2"/>
    <x v="0"/>
    <s v="Accessories"/>
    <n v="44050.01"/>
    <n v="5657.53"/>
    <n v="9"/>
    <n v="38392.480000000003"/>
    <s v="October"/>
    <n v="0.87156574992832014"/>
    <m/>
    <m/>
  </r>
  <r>
    <s v="ORD00026"/>
    <s v="2025-03-06"/>
    <x v="1"/>
    <x v="4"/>
    <s v="Electronics"/>
    <n v="9137.8700000000008"/>
    <n v="2021.49"/>
    <n v="10"/>
    <n v="7116.380000000001"/>
    <s v="March"/>
    <n v="0.77877886203239932"/>
    <m/>
    <m/>
  </r>
  <r>
    <s v="ORD00027"/>
    <s v="2025-01-17"/>
    <x v="0"/>
    <x v="4"/>
    <s v="Electronics"/>
    <n v="48181.66"/>
    <n v="10308.1"/>
    <n v="16"/>
    <n v="37873.560000000005"/>
    <s v="January"/>
    <n v="0.78605759950985499"/>
    <m/>
    <m/>
  </r>
  <r>
    <s v="ORD00028"/>
    <s v="2025-04-28"/>
    <x v="1"/>
    <x v="4"/>
    <s v="Office Supplies"/>
    <n v="12947.11"/>
    <n v="2675.59"/>
    <n v="14"/>
    <n v="10271.52"/>
    <s v="April"/>
    <n v="0.79334461513032639"/>
    <m/>
    <m/>
  </r>
  <r>
    <s v="ORD00029"/>
    <s v="2025-02-19"/>
    <x v="0"/>
    <x v="5"/>
    <s v="Electronics"/>
    <n v="12397.58"/>
    <n v="2720.94"/>
    <n v="19"/>
    <n v="9676.64"/>
    <s v="February"/>
    <n v="0.78052652211157336"/>
    <m/>
    <m/>
  </r>
  <r>
    <s v="ORD00030"/>
    <s v="2025-08-23"/>
    <x v="0"/>
    <x v="1"/>
    <s v="Electronics"/>
    <n v="17122.349999999999"/>
    <n v="1383.65"/>
    <n v="11"/>
    <n v="15738.699999999999"/>
    <s v="August"/>
    <n v="0.91919041486711817"/>
    <m/>
    <m/>
  </r>
  <r>
    <s v="ORD00031"/>
    <s v="2025-06-14"/>
    <x v="3"/>
    <x v="5"/>
    <s v="Office Supplies"/>
    <n v="27048.17"/>
    <n v="6846.19"/>
    <n v="8"/>
    <n v="20201.98"/>
    <s v="June"/>
    <n v="0.74688897622279071"/>
    <m/>
    <m/>
  </r>
  <r>
    <s v="ORD00032"/>
    <s v="2025-10-13"/>
    <x v="1"/>
    <x v="2"/>
    <s v="Accessories"/>
    <n v="47044.83"/>
    <n v="5354.54"/>
    <n v="2"/>
    <n v="41690.29"/>
    <s v="October"/>
    <n v="0.88618217984845515"/>
    <m/>
    <m/>
  </r>
  <r>
    <s v="ORD00033"/>
    <s v="2025-12-30"/>
    <x v="1"/>
    <x v="3"/>
    <s v="Electronics"/>
    <n v="37307.31"/>
    <n v="9214.4"/>
    <n v="13"/>
    <n v="28092.909999999996"/>
    <s v="December"/>
    <n v="0.75301355149969262"/>
    <m/>
    <m/>
  </r>
  <r>
    <s v="ORD00034"/>
    <s v="2025-08-01"/>
    <x v="0"/>
    <x v="5"/>
    <s v="Electronics"/>
    <n v="43007.18"/>
    <n v="2824.57"/>
    <n v="11"/>
    <n v="40182.61"/>
    <s v="August"/>
    <n v="0.93432329206425535"/>
    <m/>
    <m/>
  </r>
  <r>
    <s v="ORD00035"/>
    <s v="2025-04-28"/>
    <x v="2"/>
    <x v="5"/>
    <s v="Accessories"/>
    <n v="19566.79"/>
    <n v="3082.35"/>
    <n v="12"/>
    <n v="16484.440000000002"/>
    <s v="April"/>
    <n v="0.84247032855159187"/>
    <m/>
    <m/>
  </r>
  <r>
    <s v="ORD00036"/>
    <s v="2025-04-07"/>
    <x v="2"/>
    <x v="5"/>
    <s v="Electronics"/>
    <n v="19215.43"/>
    <n v="4885.17"/>
    <n v="14"/>
    <n v="14330.26"/>
    <s v="April"/>
    <n v="0.74576837468638479"/>
    <m/>
    <m/>
  </r>
  <r>
    <s v="ORD00037"/>
    <s v="2025-06-21"/>
    <x v="3"/>
    <x v="5"/>
    <s v="Electronics"/>
    <n v="29103.65"/>
    <n v="2494.13"/>
    <n v="15"/>
    <n v="26609.52"/>
    <s v="June"/>
    <n v="0.91430181437723446"/>
    <m/>
    <m/>
  </r>
  <r>
    <s v="ORD00038"/>
    <s v="2025-07-02"/>
    <x v="3"/>
    <x v="3"/>
    <s v="Accessories"/>
    <n v="33067.360000000001"/>
    <n v="8397.0400000000009"/>
    <n v="7"/>
    <n v="24670.32"/>
    <s v="July"/>
    <n v="0.7460625825587528"/>
    <m/>
    <m/>
  </r>
  <r>
    <s v="ORD00039"/>
    <s v="2025-02-08"/>
    <x v="2"/>
    <x v="1"/>
    <s v="Electronics"/>
    <n v="12043.18"/>
    <n v="951.49"/>
    <n v="8"/>
    <n v="11091.69"/>
    <s v="February"/>
    <n v="0.92099345853835946"/>
    <m/>
    <m/>
  </r>
  <r>
    <s v="ORD00040"/>
    <s v="2025-10-03"/>
    <x v="0"/>
    <x v="2"/>
    <s v="Accessories"/>
    <n v="25401.200000000001"/>
    <n v="4837.6400000000003"/>
    <n v="17"/>
    <n v="20563.560000000001"/>
    <s v="October"/>
    <n v="0.80955072988677701"/>
    <m/>
    <m/>
  </r>
  <r>
    <s v="ORD00041"/>
    <s v="2025-07-05"/>
    <x v="1"/>
    <x v="1"/>
    <s v="Electronics"/>
    <n v="35522.160000000003"/>
    <n v="6751.39"/>
    <n v="12"/>
    <n v="28770.770000000004"/>
    <s v="July"/>
    <n v="0.80993864111867075"/>
    <m/>
    <m/>
  </r>
  <r>
    <s v="ORD00042"/>
    <s v="2025-01-28"/>
    <x v="3"/>
    <x v="5"/>
    <s v="Office Supplies"/>
    <n v="10769.06"/>
    <n v="2761"/>
    <n v="4"/>
    <n v="8008.0599999999995"/>
    <s v="January"/>
    <n v="0.74361736307532877"/>
    <m/>
    <m/>
  </r>
  <r>
    <s v="ORD00043"/>
    <s v="2025-12-15"/>
    <x v="0"/>
    <x v="5"/>
    <s v="Office Supplies"/>
    <n v="49786.92"/>
    <n v="13171"/>
    <n v="16"/>
    <n v="36615.919999999998"/>
    <s v="December"/>
    <n v="0.73545260482070385"/>
    <m/>
    <m/>
  </r>
  <r>
    <s v="ORD00044"/>
    <s v="2025-09-09"/>
    <x v="0"/>
    <x v="5"/>
    <s v="Office Supplies"/>
    <n v="30718.29"/>
    <n v="7546.15"/>
    <n v="16"/>
    <n v="23172.14"/>
    <s v="September"/>
    <n v="0.75434342211106153"/>
    <m/>
    <m/>
  </r>
  <r>
    <s v="ORD00045"/>
    <s v="2025-09-23"/>
    <x v="0"/>
    <x v="0"/>
    <s v="Office Supplies"/>
    <n v="20906.330000000002"/>
    <n v="6028.99"/>
    <n v="9"/>
    <n v="14877.340000000002"/>
    <s v="September"/>
    <n v="0.71161892115928527"/>
    <m/>
    <m/>
  </r>
  <r>
    <s v="ORD00046"/>
    <s v="2025-01-06"/>
    <x v="0"/>
    <x v="5"/>
    <s v="Electronics"/>
    <n v="32340.38"/>
    <n v="3940.81"/>
    <n v="19"/>
    <n v="28399.57"/>
    <s v="January"/>
    <n v="0.87814583502110977"/>
    <m/>
    <m/>
  </r>
  <r>
    <s v="ORD00047"/>
    <s v="2025-10-30"/>
    <x v="2"/>
    <x v="4"/>
    <s v="Office Supplies"/>
    <n v="45777.01"/>
    <n v="2355.56"/>
    <n v="19"/>
    <n v="43421.450000000004"/>
    <s v="October"/>
    <n v="0.94854272919965721"/>
    <m/>
    <m/>
  </r>
  <r>
    <s v="ORD00048"/>
    <s v="2025-05-23"/>
    <x v="3"/>
    <x v="0"/>
    <s v="Electronics"/>
    <n v="31580.19"/>
    <n v="3099.17"/>
    <n v="14"/>
    <n v="28481.019999999997"/>
    <s v="May"/>
    <n v="0.90186347833879399"/>
    <m/>
    <m/>
  </r>
  <r>
    <s v="ORD00049"/>
    <s v="2025-05-27"/>
    <x v="2"/>
    <x v="2"/>
    <s v="Accessories"/>
    <n v="36861.22"/>
    <n v="6772.51"/>
    <n v="12"/>
    <n v="30088.71"/>
    <s v="May"/>
    <n v="0.81627005291740207"/>
    <m/>
    <m/>
  </r>
  <r>
    <s v="ORD00050"/>
    <s v="2025-04-08"/>
    <x v="2"/>
    <x v="2"/>
    <s v="Accessories"/>
    <n v="24201.61"/>
    <n v="4542.6400000000003"/>
    <n v="9"/>
    <n v="19658.97"/>
    <s v="April"/>
    <n v="0.8123000907790846"/>
    <m/>
    <m/>
  </r>
  <r>
    <s v="ORD00051"/>
    <s v="2025-10-12"/>
    <x v="3"/>
    <x v="5"/>
    <s v="Office Supplies"/>
    <n v="48379.37"/>
    <n v="2685.15"/>
    <n v="20"/>
    <n v="45694.22"/>
    <s v="October"/>
    <n v="0.94449803707654723"/>
    <m/>
    <m/>
  </r>
  <r>
    <s v="ORD00052"/>
    <s v="2025-05-13"/>
    <x v="3"/>
    <x v="4"/>
    <s v="Electronics"/>
    <n v="36360.89"/>
    <n v="7419.69"/>
    <n v="7"/>
    <n v="28941.200000000001"/>
    <s v="May"/>
    <n v="0.79594311360365499"/>
    <m/>
    <m/>
  </r>
  <r>
    <s v="ORD00053"/>
    <s v="2025-02-05"/>
    <x v="0"/>
    <x v="4"/>
    <s v="Office Supplies"/>
    <n v="36121.089999999997"/>
    <n v="6043.59"/>
    <n v="8"/>
    <n v="30077.499999999996"/>
    <s v="February"/>
    <n v="0.83268528164570887"/>
    <m/>
    <m/>
  </r>
  <r>
    <s v="ORD00054"/>
    <s v="2025-01-13"/>
    <x v="3"/>
    <x v="2"/>
    <s v="Electronics"/>
    <n v="31930.240000000002"/>
    <n v="4633.47"/>
    <n v="1"/>
    <n v="27296.77"/>
    <s v="January"/>
    <n v="0.85488771772463967"/>
    <m/>
    <m/>
  </r>
  <r>
    <s v="ORD00055"/>
    <s v="2025-06-28"/>
    <x v="1"/>
    <x v="4"/>
    <s v="Accessories"/>
    <n v="16098.37"/>
    <n v="2740.26"/>
    <n v="1"/>
    <n v="13358.11"/>
    <s v="June"/>
    <n v="0.82978028210309496"/>
    <m/>
    <m/>
  </r>
  <r>
    <s v="ORD00056"/>
    <s v="2025-10-13"/>
    <x v="1"/>
    <x v="3"/>
    <s v="Office Supplies"/>
    <n v="31722.62"/>
    <n v="6776.19"/>
    <n v="3"/>
    <n v="24946.43"/>
    <s v="October"/>
    <n v="0.78639248586655208"/>
    <m/>
    <m/>
  </r>
  <r>
    <s v="ORD00057"/>
    <s v="2025-08-21"/>
    <x v="0"/>
    <x v="3"/>
    <s v="Office Supplies"/>
    <n v="22552.28"/>
    <n v="1616.82"/>
    <n v="13"/>
    <n v="20935.46"/>
    <s v="August"/>
    <n v="0.92830791387833067"/>
    <m/>
    <m/>
  </r>
  <r>
    <s v="ORD00058"/>
    <s v="2025-01-12"/>
    <x v="1"/>
    <x v="4"/>
    <s v="Accessories"/>
    <n v="940.13"/>
    <n v="62.65"/>
    <n v="11"/>
    <n v="877.48"/>
    <s v="January"/>
    <n v="0.93336027996128201"/>
    <m/>
    <m/>
  </r>
  <r>
    <s v="ORD00059"/>
    <s v="2025-11-15"/>
    <x v="2"/>
    <x v="2"/>
    <s v="Electronics"/>
    <n v="32803.26"/>
    <n v="2320.21"/>
    <n v="19"/>
    <n v="30483.050000000003"/>
    <s v="November"/>
    <n v="0.92926892022317298"/>
    <m/>
    <m/>
  </r>
  <r>
    <s v="ORD00060"/>
    <s v="2025-12-06"/>
    <x v="3"/>
    <x v="5"/>
    <s v="Accessories"/>
    <n v="39530.94"/>
    <n v="6658.08"/>
    <n v="5"/>
    <n v="32872.86"/>
    <s v="December"/>
    <n v="0.83157294008186999"/>
    <m/>
    <m/>
  </r>
  <r>
    <s v="ORD00061"/>
    <s v="2025-09-26"/>
    <x v="2"/>
    <x v="4"/>
    <s v="Electronics"/>
    <n v="34743.26"/>
    <n v="6714.58"/>
    <n v="17"/>
    <n v="28028.68"/>
    <s v="September"/>
    <n v="0.80673719161644586"/>
    <m/>
    <m/>
  </r>
  <r>
    <s v="ORD00062"/>
    <s v="2025-11-14"/>
    <x v="1"/>
    <x v="3"/>
    <s v="Accessories"/>
    <n v="44841.57"/>
    <n v="9726.77"/>
    <n v="16"/>
    <n v="35114.800000000003"/>
    <s v="November"/>
    <n v="0.78308587321987178"/>
    <m/>
    <m/>
  </r>
  <r>
    <s v="ORD00063"/>
    <s v="2025-09-21"/>
    <x v="3"/>
    <x v="5"/>
    <s v="Office Supplies"/>
    <n v="38553.17"/>
    <n v="4892.4799999999996"/>
    <n v="13"/>
    <n v="33660.69"/>
    <s v="September"/>
    <n v="0.87309785421017272"/>
    <m/>
    <m/>
  </r>
  <r>
    <s v="ORD00064"/>
    <s v="2025-08-20"/>
    <x v="2"/>
    <x v="5"/>
    <s v="Electronics"/>
    <n v="37152.83"/>
    <n v="3450.57"/>
    <n v="8"/>
    <n v="33702.26"/>
    <s v="August"/>
    <n v="0.90712497540564208"/>
    <m/>
    <m/>
  </r>
  <r>
    <s v="ORD00065"/>
    <s v="2025-08-13"/>
    <x v="2"/>
    <x v="1"/>
    <s v="Accessories"/>
    <n v="48189"/>
    <n v="8889.7800000000007"/>
    <n v="5"/>
    <n v="39299.22"/>
    <s v="August"/>
    <n v="0.81552262964576983"/>
    <m/>
    <m/>
  </r>
  <r>
    <s v="ORD00066"/>
    <s v="2025-03-21"/>
    <x v="2"/>
    <x v="3"/>
    <s v="Electronics"/>
    <n v="22347.040000000001"/>
    <n v="3286.45"/>
    <n v="9"/>
    <n v="19060.59"/>
    <s v="March"/>
    <n v="0.85293578030915951"/>
    <m/>
    <m/>
  </r>
  <r>
    <s v="ORD00067"/>
    <s v="2025-09-06"/>
    <x v="1"/>
    <x v="5"/>
    <s v="Electronics"/>
    <n v="28237.18"/>
    <n v="7326.63"/>
    <n v="20"/>
    <n v="20910.55"/>
    <s v="September"/>
    <n v="0.74053251776558415"/>
    <m/>
    <m/>
  </r>
  <r>
    <s v="ORD00068"/>
    <s v="2025-06-21"/>
    <x v="0"/>
    <x v="0"/>
    <s v="Accessories"/>
    <n v="47502.9"/>
    <n v="6231.68"/>
    <n v="14"/>
    <n v="41271.22"/>
    <s v="June"/>
    <n v="0.86881474604708342"/>
    <m/>
    <m/>
  </r>
  <r>
    <s v="ORD00069"/>
    <s v="2025-03-11"/>
    <x v="1"/>
    <x v="3"/>
    <s v="Accessories"/>
    <n v="31477.3"/>
    <n v="5654.75"/>
    <n v="17"/>
    <n v="25822.55"/>
    <s v="March"/>
    <n v="0.82035466828476389"/>
    <m/>
    <m/>
  </r>
  <r>
    <s v="ORD00070"/>
    <s v="2025-07-15"/>
    <x v="1"/>
    <x v="1"/>
    <s v="Accessories"/>
    <n v="22833.31"/>
    <n v="6447.59"/>
    <n v="12"/>
    <n v="16385.72"/>
    <s v="July"/>
    <n v="0.71762350706051814"/>
    <m/>
    <m/>
  </r>
  <r>
    <s v="ORD00071"/>
    <s v="2025-12-25"/>
    <x v="3"/>
    <x v="4"/>
    <s v="Accessories"/>
    <n v="10467.469999999999"/>
    <n v="2416.88"/>
    <n v="14"/>
    <n v="8050.5899999999992"/>
    <s v="December"/>
    <n v="0.76910561960053381"/>
    <m/>
    <m/>
  </r>
  <r>
    <s v="ORD00072"/>
    <s v="2025-10-30"/>
    <x v="0"/>
    <x v="2"/>
    <s v="Electronics"/>
    <n v="48530.71"/>
    <n v="9564.56"/>
    <n v="20"/>
    <n v="38966.15"/>
    <s v="October"/>
    <n v="0.80291736922868018"/>
    <m/>
    <m/>
  </r>
  <r>
    <s v="ORD00073"/>
    <s v="2025-03-19"/>
    <x v="3"/>
    <x v="4"/>
    <s v="Office Supplies"/>
    <n v="43350.03"/>
    <n v="4449.84"/>
    <n v="18"/>
    <n v="38900.19"/>
    <s v="March"/>
    <n v="0.89735093608931771"/>
    <m/>
    <m/>
  </r>
  <r>
    <s v="ORD00074"/>
    <s v="2025-07-01"/>
    <x v="3"/>
    <x v="4"/>
    <s v="Office Supplies"/>
    <n v="17951.150000000001"/>
    <n v="4815.32"/>
    <n v="5"/>
    <n v="13135.830000000002"/>
    <s v="July"/>
    <n v="0.73175423301571207"/>
    <m/>
    <m/>
  </r>
  <r>
    <s v="ORD00075"/>
    <s v="2025-04-10"/>
    <x v="2"/>
    <x v="0"/>
    <s v="Office Supplies"/>
    <n v="27086.02"/>
    <n v="8008.35"/>
    <n v="11"/>
    <n v="19077.669999999998"/>
    <s v="April"/>
    <n v="0.70433640675152709"/>
    <m/>
    <m/>
  </r>
  <r>
    <s v="ORD00076"/>
    <s v="2025-08-15"/>
    <x v="2"/>
    <x v="0"/>
    <s v="Accessories"/>
    <n v="16807.07"/>
    <n v="847.14"/>
    <n v="13"/>
    <n v="15959.93"/>
    <s v="August"/>
    <n v="0.94959621159428742"/>
    <m/>
    <m/>
  </r>
  <r>
    <s v="ORD00077"/>
    <s v="2025-08-04"/>
    <x v="2"/>
    <x v="5"/>
    <s v="Office Supplies"/>
    <n v="7959.49"/>
    <n v="1572.65"/>
    <n v="15"/>
    <n v="6386.84"/>
    <s v="August"/>
    <n v="0.8024182453900941"/>
    <m/>
    <m/>
  </r>
  <r>
    <s v="ORD00078"/>
    <s v="2025-01-28"/>
    <x v="2"/>
    <x v="1"/>
    <s v="Office Supplies"/>
    <n v="19637.509999999998"/>
    <n v="2444.86"/>
    <n v="11"/>
    <n v="17192.649999999998"/>
    <s v="January"/>
    <n v="0.87550050897491583"/>
    <m/>
    <m/>
  </r>
  <r>
    <s v="ORD00079"/>
    <s v="2025-05-28"/>
    <x v="0"/>
    <x v="5"/>
    <s v="Office Supplies"/>
    <n v="14965.8"/>
    <n v="2011.49"/>
    <n v="4"/>
    <n v="12954.31"/>
    <s v="May"/>
    <n v="0.86559422149166765"/>
    <m/>
    <m/>
  </r>
  <r>
    <s v="ORD00080"/>
    <s v="2025-08-17"/>
    <x v="0"/>
    <x v="4"/>
    <s v="Electronics"/>
    <n v="23020.720000000001"/>
    <n v="6074.9"/>
    <n v="15"/>
    <n v="16945.82"/>
    <s v="August"/>
    <n v="0.73611164203378521"/>
    <m/>
    <m/>
  </r>
  <r>
    <s v="ORD00081"/>
    <s v="2025-05-09"/>
    <x v="2"/>
    <x v="4"/>
    <s v="Electronics"/>
    <n v="12018.19"/>
    <n v="2423.14"/>
    <n v="1"/>
    <n v="9595.0500000000011"/>
    <s v="May"/>
    <n v="0.79837729308656302"/>
    <m/>
    <m/>
  </r>
  <r>
    <s v="ORD00082"/>
    <s v="2025-11-29"/>
    <x v="1"/>
    <x v="2"/>
    <s v="Electronics"/>
    <n v="3320.43"/>
    <n v="826.94"/>
    <n v="16"/>
    <n v="2493.4899999999998"/>
    <s v="November"/>
    <n v="0.75095394271223903"/>
    <m/>
    <m/>
  </r>
  <r>
    <s v="ORD00083"/>
    <s v="2025-01-27"/>
    <x v="2"/>
    <x v="2"/>
    <s v="Accessories"/>
    <n v="37449.99"/>
    <n v="3664.38"/>
    <n v="10"/>
    <n v="33785.61"/>
    <s v="January"/>
    <n v="0.90215271085519655"/>
    <m/>
    <m/>
  </r>
  <r>
    <s v="ORD00084"/>
    <s v="2025-01-29"/>
    <x v="3"/>
    <x v="2"/>
    <s v="Electronics"/>
    <n v="6307.85"/>
    <n v="1437.44"/>
    <n v="16"/>
    <n v="4870.41"/>
    <s v="January"/>
    <n v="0.77211886776001326"/>
    <m/>
    <m/>
  </r>
  <r>
    <s v="ORD00085"/>
    <s v="2025-01-19"/>
    <x v="2"/>
    <x v="1"/>
    <s v="Office Supplies"/>
    <n v="21611.85"/>
    <n v="1126.4100000000001"/>
    <n v="11"/>
    <n v="20485.439999999999"/>
    <s v="January"/>
    <n v="0.94787998250959549"/>
    <m/>
    <m/>
  </r>
  <r>
    <s v="ORD00086"/>
    <s v="2025-01-29"/>
    <x v="3"/>
    <x v="2"/>
    <s v="Electronics"/>
    <n v="31830.54"/>
    <n v="3743.39"/>
    <n v="6"/>
    <n v="28087.15"/>
    <s v="January"/>
    <n v="0.8823962772859022"/>
    <m/>
    <m/>
  </r>
  <r>
    <s v="ORD00087"/>
    <s v="2025-06-04"/>
    <x v="1"/>
    <x v="3"/>
    <s v="Office Supplies"/>
    <n v="14200.17"/>
    <n v="1912.52"/>
    <n v="18"/>
    <n v="12287.65"/>
    <s v="June"/>
    <n v="0.86531710535859774"/>
    <m/>
    <m/>
  </r>
  <r>
    <s v="ORD00088"/>
    <s v="2025-03-31"/>
    <x v="3"/>
    <x v="2"/>
    <s v="Office Supplies"/>
    <n v="27669.8"/>
    <n v="1546.32"/>
    <n v="11"/>
    <n v="26123.48"/>
    <s v="March"/>
    <n v="0.94411524477950692"/>
    <m/>
    <m/>
  </r>
  <r>
    <s v="ORD00089"/>
    <s v="2025-05-26"/>
    <x v="3"/>
    <x v="0"/>
    <s v="Electronics"/>
    <n v="35659.53"/>
    <n v="3183.72"/>
    <n v="16"/>
    <n v="32475.809999999998"/>
    <s v="May"/>
    <n v="0.91071895787745938"/>
    <m/>
    <m/>
  </r>
  <r>
    <s v="ORD00090"/>
    <s v="2025-11-26"/>
    <x v="3"/>
    <x v="5"/>
    <s v="Accessories"/>
    <n v="38007.19"/>
    <n v="3827.6"/>
    <n v="10"/>
    <n v="34179.590000000004"/>
    <s v="November"/>
    <n v="0.89929273908436802"/>
    <m/>
    <m/>
  </r>
  <r>
    <s v="ORD00091"/>
    <s v="2025-07-30"/>
    <x v="2"/>
    <x v="3"/>
    <s v="Electronics"/>
    <n v="39601.160000000003"/>
    <n v="9287.25"/>
    <n v="17"/>
    <n v="30313.910000000003"/>
    <s v="July"/>
    <n v="0.76548035461587494"/>
    <m/>
    <m/>
  </r>
  <r>
    <s v="ORD00092"/>
    <s v="2025-04-12"/>
    <x v="0"/>
    <x v="5"/>
    <s v="Office Supplies"/>
    <n v="13524.33"/>
    <n v="3240.17"/>
    <n v="7"/>
    <n v="10284.16"/>
    <s v="April"/>
    <n v="0.76041918527572161"/>
    <m/>
    <m/>
  </r>
  <r>
    <s v="ORD00093"/>
    <s v="2025-02-14"/>
    <x v="1"/>
    <x v="5"/>
    <s v="Accessories"/>
    <n v="49667.65"/>
    <n v="12962.43"/>
    <n v="9"/>
    <n v="36705.22"/>
    <s v="February"/>
    <n v="0.73901664363021002"/>
    <m/>
    <m/>
  </r>
  <r>
    <s v="ORD00094"/>
    <s v="2025-12-29"/>
    <x v="0"/>
    <x v="0"/>
    <s v="Electronics"/>
    <n v="6096.08"/>
    <n v="1193.3900000000001"/>
    <n v="18"/>
    <n v="4902.6899999999996"/>
    <s v="December"/>
    <n v="0.80423649295940991"/>
    <m/>
    <m/>
  </r>
  <r>
    <s v="ORD00095"/>
    <s v="2025-09-15"/>
    <x v="2"/>
    <x v="4"/>
    <s v="Accessories"/>
    <n v="23802.79"/>
    <n v="1647.04"/>
    <n v="20"/>
    <n v="22155.75"/>
    <s v="September"/>
    <n v="0.93080475019945141"/>
    <m/>
    <m/>
  </r>
  <r>
    <s v="ORD00096"/>
    <s v="2025-10-06"/>
    <x v="0"/>
    <x v="1"/>
    <s v="Electronics"/>
    <n v="38489.49"/>
    <n v="7243.08"/>
    <n v="8"/>
    <n v="31246.409999999996"/>
    <s v="October"/>
    <n v="0.81181668034572552"/>
    <m/>
    <m/>
  </r>
  <r>
    <s v="ORD00097"/>
    <s v="2025-12-03"/>
    <x v="3"/>
    <x v="4"/>
    <s v="Accessories"/>
    <n v="38229.29"/>
    <n v="9711.5"/>
    <n v="20"/>
    <n v="28517.79"/>
    <s v="December"/>
    <n v="0.74596703208456139"/>
    <m/>
    <m/>
  </r>
  <r>
    <s v="ORD00098"/>
    <s v="2025-06-21"/>
    <x v="2"/>
    <x v="0"/>
    <s v="Office Supplies"/>
    <n v="38827.33"/>
    <n v="7865.18"/>
    <n v="10"/>
    <n v="30962.15"/>
    <s v="June"/>
    <n v="0.79743186049620207"/>
    <m/>
    <m/>
  </r>
  <r>
    <s v="ORD00099"/>
    <s v="2025-12-25"/>
    <x v="3"/>
    <x v="4"/>
    <s v="Office Supplies"/>
    <n v="33525.65"/>
    <n v="6594.98"/>
    <n v="6"/>
    <n v="26930.670000000002"/>
    <s v="December"/>
    <n v="0.80328554405358288"/>
    <m/>
    <m/>
  </r>
  <r>
    <s v="ORD00100"/>
    <s v="2025-04-21"/>
    <x v="0"/>
    <x v="3"/>
    <s v="Office Supplies"/>
    <n v="49865.93"/>
    <n v="3989.04"/>
    <n v="6"/>
    <n v="45876.89"/>
    <s v="April"/>
    <n v="0.92000470060420003"/>
    <m/>
    <m/>
  </r>
  <r>
    <s v="ORD00101"/>
    <s v="2025-08-28"/>
    <x v="0"/>
    <x v="5"/>
    <s v="Office Supplies"/>
    <n v="3717.95"/>
    <n v="606.21"/>
    <n v="6"/>
    <n v="3111.74"/>
    <s v="August"/>
    <n v="0.83695047001707934"/>
    <m/>
    <m/>
  </r>
  <r>
    <s v="ORD00102"/>
    <s v="2025-06-11"/>
    <x v="1"/>
    <x v="3"/>
    <s v="Accessories"/>
    <n v="19210.68"/>
    <n v="1704.1"/>
    <n v="15"/>
    <n v="17506.580000000002"/>
    <s v="June"/>
    <n v="0.91129413430445994"/>
    <m/>
    <m/>
  </r>
  <r>
    <s v="ORD00103"/>
    <s v="2025-11-09"/>
    <x v="0"/>
    <x v="2"/>
    <s v="Office Supplies"/>
    <n v="29629.06"/>
    <n v="6329.12"/>
    <n v="18"/>
    <n v="23299.940000000002"/>
    <s v="November"/>
    <n v="0.78638809331109394"/>
    <m/>
    <m/>
  </r>
  <r>
    <s v="ORD00104"/>
    <s v="2025-10-15"/>
    <x v="1"/>
    <x v="1"/>
    <s v="Accessories"/>
    <n v="48464.4"/>
    <n v="5898.63"/>
    <n v="12"/>
    <n v="42565.770000000004"/>
    <s v="October"/>
    <n v="0.87828942481491579"/>
    <m/>
    <m/>
  </r>
  <r>
    <s v="ORD00105"/>
    <s v="2025-07-09"/>
    <x v="2"/>
    <x v="1"/>
    <s v="Accessories"/>
    <n v="37477.65"/>
    <n v="2991.22"/>
    <n v="7"/>
    <n v="34486.43"/>
    <s v="July"/>
    <n v="0.92018656452579073"/>
    <m/>
    <m/>
  </r>
  <r>
    <s v="ORD00106"/>
    <s v="2025-11-03"/>
    <x v="0"/>
    <x v="4"/>
    <s v="Electronics"/>
    <n v="19083.93"/>
    <n v="1094.97"/>
    <n v="13"/>
    <n v="17988.96"/>
    <s v="November"/>
    <n v="0.94262345334530151"/>
    <m/>
    <m/>
  </r>
  <r>
    <s v="ORD00107"/>
    <s v="2025-06-09"/>
    <x v="2"/>
    <x v="4"/>
    <s v="Accessories"/>
    <n v="14577.96"/>
    <n v="1981.42"/>
    <n v="14"/>
    <n v="12596.539999999999"/>
    <s v="June"/>
    <n v="0.86408111971771084"/>
    <m/>
    <m/>
  </r>
  <r>
    <s v="ORD00108"/>
    <s v="2025-07-13"/>
    <x v="3"/>
    <x v="5"/>
    <s v="Office Supplies"/>
    <n v="19507.740000000002"/>
    <n v="5415.87"/>
    <n v="9"/>
    <n v="14091.870000000003"/>
    <s v="July"/>
    <n v="0.72237327337764401"/>
    <m/>
    <m/>
  </r>
  <r>
    <s v="ORD00109"/>
    <s v="2025-02-01"/>
    <x v="1"/>
    <x v="3"/>
    <s v="Accessories"/>
    <n v="12146.79"/>
    <n v="1583.23"/>
    <n v="15"/>
    <n v="10563.560000000001"/>
    <s v="February"/>
    <n v="0.86965856823078369"/>
    <m/>
    <m/>
  </r>
  <r>
    <s v="ORD00110"/>
    <s v="2025-08-28"/>
    <x v="3"/>
    <x v="3"/>
    <s v="Electronics"/>
    <n v="46727.98"/>
    <n v="3819.75"/>
    <n v="17"/>
    <n v="42908.23"/>
    <s v="August"/>
    <n v="0.91825561473018946"/>
    <m/>
    <m/>
  </r>
  <r>
    <s v="ORD00111"/>
    <s v="2025-05-07"/>
    <x v="1"/>
    <x v="5"/>
    <s v="Electronics"/>
    <n v="7234.37"/>
    <n v="2113.7600000000002"/>
    <n v="8"/>
    <n v="5120.6099999999997"/>
    <s v="May"/>
    <n v="0.7078169902838809"/>
    <m/>
    <m/>
  </r>
  <r>
    <s v="ORD00112"/>
    <s v="2025-10-14"/>
    <x v="0"/>
    <x v="5"/>
    <s v="Office Supplies"/>
    <n v="35123.300000000003"/>
    <n v="7428.75"/>
    <n v="18"/>
    <n v="27694.550000000003"/>
    <s v="October"/>
    <n v="0.78849510154228108"/>
    <m/>
    <m/>
  </r>
  <r>
    <s v="ORD00113"/>
    <s v="2025-12-09"/>
    <x v="2"/>
    <x v="0"/>
    <s v="Electronics"/>
    <n v="18668.740000000002"/>
    <n v="3671.53"/>
    <n v="18"/>
    <n v="14997.210000000001"/>
    <s v="December"/>
    <n v="0.80333273697100072"/>
    <m/>
    <m/>
  </r>
  <r>
    <s v="ORD00114"/>
    <s v="2025-10-19"/>
    <x v="0"/>
    <x v="1"/>
    <s v="Office Supplies"/>
    <n v="9516.8799999999992"/>
    <n v="1718.01"/>
    <n v="4"/>
    <n v="7798.869999999999"/>
    <s v="October"/>
    <n v="0.81947760190314467"/>
    <m/>
    <m/>
  </r>
  <r>
    <s v="ORD00115"/>
    <s v="2025-07-03"/>
    <x v="1"/>
    <x v="5"/>
    <s v="Office Supplies"/>
    <n v="49756.84"/>
    <n v="14320.8"/>
    <n v="19"/>
    <n v="35436.039999999994"/>
    <s v="July"/>
    <n v="0.71218429466179922"/>
    <m/>
    <m/>
  </r>
  <r>
    <s v="ORD00116"/>
    <s v="2025-08-11"/>
    <x v="1"/>
    <x v="3"/>
    <s v="Electronics"/>
    <n v="28733.22"/>
    <n v="7903.22"/>
    <n v="6"/>
    <n v="20830"/>
    <s v="August"/>
    <n v="0.72494485477088888"/>
    <m/>
    <m/>
  </r>
  <r>
    <s v="ORD00117"/>
    <s v="2025-06-24"/>
    <x v="3"/>
    <x v="4"/>
    <s v="Office Supplies"/>
    <n v="17181.060000000001"/>
    <n v="3575.26"/>
    <n v="8"/>
    <n v="13605.800000000001"/>
    <s v="June"/>
    <n v="0.79190690213525827"/>
    <m/>
    <m/>
  </r>
  <r>
    <s v="ORD00118"/>
    <s v="2025-12-19"/>
    <x v="2"/>
    <x v="4"/>
    <s v="Electronics"/>
    <n v="15411.59"/>
    <n v="1523.44"/>
    <n v="2"/>
    <n v="13888.15"/>
    <s v="December"/>
    <n v="0.9011497191399459"/>
    <m/>
    <m/>
  </r>
  <r>
    <s v="ORD00119"/>
    <s v="2025-04-04"/>
    <x v="3"/>
    <x v="0"/>
    <s v="Accessories"/>
    <n v="14577.8"/>
    <n v="1560.98"/>
    <n v="3"/>
    <n v="13016.82"/>
    <s v="April"/>
    <n v="0.89292074249886821"/>
    <m/>
    <m/>
  </r>
  <r>
    <s v="ORD00120"/>
    <s v="2025-06-11"/>
    <x v="3"/>
    <x v="4"/>
    <s v="Accessories"/>
    <n v="45637.5"/>
    <n v="2701.98"/>
    <n v="20"/>
    <n v="42935.519999999997"/>
    <s v="June"/>
    <n v="0.94079474116680351"/>
    <m/>
    <m/>
  </r>
  <r>
    <s v="ORD00121"/>
    <s v="2025-02-23"/>
    <x v="0"/>
    <x v="3"/>
    <s v="Electronics"/>
    <n v="42770.53"/>
    <n v="4378.42"/>
    <n v="16"/>
    <n v="38392.11"/>
    <s v="February"/>
    <n v="0.89762998026912455"/>
    <m/>
    <m/>
  </r>
  <r>
    <s v="ORD00122"/>
    <s v="2025-05-01"/>
    <x v="2"/>
    <x v="2"/>
    <s v="Accessories"/>
    <n v="40116.51"/>
    <n v="11511.52"/>
    <n v="9"/>
    <n v="28604.99"/>
    <s v="May"/>
    <n v="0.71304781996240452"/>
    <m/>
    <m/>
  </r>
  <r>
    <s v="ORD00123"/>
    <s v="2025-02-25"/>
    <x v="0"/>
    <x v="1"/>
    <s v="Office Supplies"/>
    <n v="4224.42"/>
    <n v="1129.92"/>
    <n v="3"/>
    <n v="3094.5"/>
    <s v="February"/>
    <n v="0.73252659536693798"/>
    <m/>
    <m/>
  </r>
  <r>
    <s v="ORD00124"/>
    <s v="2025-01-12"/>
    <x v="3"/>
    <x v="4"/>
    <s v="Electronics"/>
    <n v="38631.39"/>
    <n v="7347.22"/>
    <n v="12"/>
    <n v="31284.17"/>
    <s v="January"/>
    <n v="0.80981217605682831"/>
    <m/>
    <m/>
  </r>
  <r>
    <s v="ORD00125"/>
    <s v="2025-06-22"/>
    <x v="1"/>
    <x v="1"/>
    <s v="Electronics"/>
    <n v="48647.13"/>
    <n v="12545.95"/>
    <n v="17"/>
    <n v="36101.179999999993"/>
    <s v="June"/>
    <n v="0.74210297709237927"/>
    <m/>
    <m/>
  </r>
  <r>
    <s v="ORD00126"/>
    <s v="2025-04-04"/>
    <x v="3"/>
    <x v="4"/>
    <s v="Accessories"/>
    <n v="37595.35"/>
    <n v="8209.7800000000007"/>
    <n v="19"/>
    <n v="29385.57"/>
    <s v="April"/>
    <n v="0.78162778109526843"/>
    <m/>
    <m/>
  </r>
  <r>
    <s v="ORD00127"/>
    <s v="2025-07-18"/>
    <x v="0"/>
    <x v="3"/>
    <s v="Office Supplies"/>
    <n v="16237.68"/>
    <n v="4223.1499999999996"/>
    <n v="8"/>
    <n v="12014.53"/>
    <s v="July"/>
    <n v="0.73991666297155756"/>
    <m/>
    <m/>
  </r>
  <r>
    <s v="ORD00128"/>
    <s v="2025-07-22"/>
    <x v="2"/>
    <x v="2"/>
    <s v="Office Supplies"/>
    <n v="8686.6200000000008"/>
    <n v="2481.37"/>
    <n v="4"/>
    <n v="6205.2500000000009"/>
    <s v="July"/>
    <n v="0.71434574092109482"/>
    <m/>
    <m/>
  </r>
  <r>
    <s v="ORD00129"/>
    <s v="2025-05-23"/>
    <x v="3"/>
    <x v="2"/>
    <s v="Electronics"/>
    <n v="6642.45"/>
    <n v="1455.65"/>
    <n v="6"/>
    <n v="5186.7999999999993"/>
    <s v="May"/>
    <n v="0.78085646109492723"/>
    <m/>
    <m/>
  </r>
  <r>
    <s v="ORD00130"/>
    <s v="2025-12-02"/>
    <x v="2"/>
    <x v="4"/>
    <s v="Electronics"/>
    <n v="25425.91"/>
    <n v="3764.8"/>
    <n v="10"/>
    <n v="21661.11"/>
    <s v="December"/>
    <n v="0.85193057003662798"/>
    <m/>
    <m/>
  </r>
  <r>
    <s v="ORD00131"/>
    <s v="2025-06-30"/>
    <x v="2"/>
    <x v="5"/>
    <s v="Electronics"/>
    <n v="19773.060000000001"/>
    <n v="1070.73"/>
    <n v="11"/>
    <n v="18702.330000000002"/>
    <s v="June"/>
    <n v="0.9458490491608279"/>
    <m/>
    <m/>
  </r>
  <r>
    <s v="ORD00132"/>
    <s v="2025-05-13"/>
    <x v="2"/>
    <x v="4"/>
    <s v="Office Supplies"/>
    <n v="7766.31"/>
    <n v="2278.64"/>
    <n v="18"/>
    <n v="5487.67"/>
    <s v="May"/>
    <n v="0.70659940177510294"/>
    <m/>
    <m/>
  </r>
  <r>
    <s v="ORD00133"/>
    <s v="2025-10-31"/>
    <x v="0"/>
    <x v="3"/>
    <s v="Electronics"/>
    <n v="34275.550000000003"/>
    <n v="9980.31"/>
    <n v="5"/>
    <n v="24295.240000000005"/>
    <s v="October"/>
    <n v="0.70882130264868115"/>
    <m/>
    <m/>
  </r>
  <r>
    <s v="ORD00134"/>
    <s v="2025-01-28"/>
    <x v="2"/>
    <x v="3"/>
    <s v="Accessories"/>
    <n v="6541.94"/>
    <n v="514.30999999999995"/>
    <n v="15"/>
    <n v="6027.6299999999992"/>
    <s v="January"/>
    <n v="0.92138264796069658"/>
    <m/>
    <m/>
  </r>
  <r>
    <s v="ORD00135"/>
    <s v="2025-06-26"/>
    <x v="2"/>
    <x v="1"/>
    <s v="Electronics"/>
    <n v="17652.810000000001"/>
    <n v="2368.71"/>
    <n v="8"/>
    <n v="15284.100000000002"/>
    <s v="June"/>
    <n v="0.86581683029500689"/>
    <m/>
    <m/>
  </r>
  <r>
    <s v="ORD00136"/>
    <s v="2025-01-13"/>
    <x v="3"/>
    <x v="2"/>
    <s v="Office Supplies"/>
    <n v="35072.379999999997"/>
    <n v="2771.7"/>
    <n v="17"/>
    <n v="32300.679999999997"/>
    <s v="January"/>
    <n v="0.92097200132982138"/>
    <m/>
    <m/>
  </r>
  <r>
    <s v="ORD00137"/>
    <s v="2025-05-20"/>
    <x v="1"/>
    <x v="2"/>
    <s v="Office Supplies"/>
    <n v="26174.04"/>
    <n v="4622.4799999999996"/>
    <n v="15"/>
    <n v="21551.56"/>
    <s v="May"/>
    <n v="0.82339447788725018"/>
    <m/>
    <m/>
  </r>
  <r>
    <s v="ORD00138"/>
    <s v="2025-09-20"/>
    <x v="0"/>
    <x v="1"/>
    <s v="Office Supplies"/>
    <n v="21670.41"/>
    <n v="5284.47"/>
    <n v="7"/>
    <n v="16385.939999999999"/>
    <s v="September"/>
    <n v="0.75614351551262748"/>
    <m/>
    <m/>
  </r>
  <r>
    <s v="ORD00139"/>
    <s v="2025-08-12"/>
    <x v="3"/>
    <x v="3"/>
    <s v="Office Supplies"/>
    <n v="25694.16"/>
    <n v="3796.02"/>
    <n v="12"/>
    <n v="21898.14"/>
    <s v="August"/>
    <n v="0.85226136989884083"/>
    <m/>
    <m/>
  </r>
  <r>
    <s v="ORD00140"/>
    <s v="2025-02-28"/>
    <x v="2"/>
    <x v="0"/>
    <s v="Accessories"/>
    <n v="44147.31"/>
    <n v="8037.24"/>
    <n v="15"/>
    <n v="36110.07"/>
    <s v="February"/>
    <n v="0.81794496652230908"/>
    <m/>
    <m/>
  </r>
  <r>
    <s v="ORD00141"/>
    <s v="2025-07-09"/>
    <x v="2"/>
    <x v="4"/>
    <s v="Electronics"/>
    <n v="38805.96"/>
    <n v="9575.11"/>
    <n v="17"/>
    <n v="29230.85"/>
    <s v="July"/>
    <n v="0.75325671623637191"/>
    <m/>
    <m/>
  </r>
  <r>
    <s v="ORD00142"/>
    <s v="2025-10-04"/>
    <x v="3"/>
    <x v="5"/>
    <s v="Accessories"/>
    <n v="11423.56"/>
    <n v="765.64"/>
    <n v="7"/>
    <n v="10657.92"/>
    <s v="October"/>
    <n v="0.93297711046293808"/>
    <m/>
    <m/>
  </r>
  <r>
    <s v="ORD00143"/>
    <s v="2025-08-11"/>
    <x v="0"/>
    <x v="0"/>
    <s v="Office Supplies"/>
    <n v="35898.400000000001"/>
    <n v="10110.450000000001"/>
    <n v="4"/>
    <n v="25787.95"/>
    <s v="August"/>
    <n v="0.71835931406413656"/>
    <m/>
    <m/>
  </r>
  <r>
    <s v="ORD00144"/>
    <s v="2025-06-27"/>
    <x v="1"/>
    <x v="1"/>
    <s v="Accessories"/>
    <n v="41960.31"/>
    <n v="5888.68"/>
    <n v="14"/>
    <n v="36071.629999999997"/>
    <s v="June"/>
    <n v="0.8596607127068413"/>
    <m/>
    <m/>
  </r>
  <r>
    <s v="ORD00145"/>
    <s v="2025-10-09"/>
    <x v="3"/>
    <x v="3"/>
    <s v="Office Supplies"/>
    <n v="24473.78"/>
    <n v="5747.53"/>
    <n v="13"/>
    <n v="18726.25"/>
    <s v="October"/>
    <n v="0.76515560734794552"/>
    <m/>
    <m/>
  </r>
  <r>
    <s v="ORD00146"/>
    <s v="2025-11-21"/>
    <x v="1"/>
    <x v="4"/>
    <s v="Electronics"/>
    <n v="35346.49"/>
    <n v="3330.66"/>
    <n v="20"/>
    <n v="32015.829999999998"/>
    <s v="November"/>
    <n v="0.90577112465763931"/>
    <m/>
    <m/>
  </r>
  <r>
    <s v="ORD00147"/>
    <s v="2025-09-03"/>
    <x v="0"/>
    <x v="5"/>
    <s v="Electronics"/>
    <n v="4240.8599999999997"/>
    <n v="374.82"/>
    <n v="2"/>
    <n v="3866.0399999999995"/>
    <s v="September"/>
    <n v="0.91161698334771712"/>
    <m/>
    <m/>
  </r>
  <r>
    <s v="ORD00148"/>
    <s v="2025-10-16"/>
    <x v="0"/>
    <x v="5"/>
    <s v="Accessories"/>
    <n v="26188.49"/>
    <n v="7271.05"/>
    <n v="2"/>
    <n v="18917.440000000002"/>
    <s v="October"/>
    <n v="0.72235703547627228"/>
    <m/>
    <m/>
  </r>
  <r>
    <s v="ORD00149"/>
    <s v="2025-07-23"/>
    <x v="0"/>
    <x v="5"/>
    <s v="Office Supplies"/>
    <n v="21891.63"/>
    <n v="4876.93"/>
    <n v="8"/>
    <n v="17014.7"/>
    <s v="July"/>
    <n v="0.77722398925982217"/>
    <m/>
    <m/>
  </r>
  <r>
    <s v="ORD00150"/>
    <s v="2025-06-07"/>
    <x v="2"/>
    <x v="1"/>
    <s v="Electronics"/>
    <n v="16356.59"/>
    <n v="1834.3"/>
    <n v="2"/>
    <n v="14522.29"/>
    <s v="June"/>
    <n v="0.88785559826345228"/>
    <m/>
    <m/>
  </r>
  <r>
    <s v="ORD00151"/>
    <s v="2025-10-09"/>
    <x v="3"/>
    <x v="5"/>
    <s v="Office Supplies"/>
    <n v="8963.94"/>
    <n v="1605.13"/>
    <n v="9"/>
    <n v="7358.81"/>
    <s v="October"/>
    <n v="0.8209347675241021"/>
    <m/>
    <m/>
  </r>
  <r>
    <s v="ORD00152"/>
    <s v="2025-10-17"/>
    <x v="1"/>
    <x v="1"/>
    <s v="Accessories"/>
    <n v="27209.4"/>
    <n v="5127.6000000000004"/>
    <n v="17"/>
    <n v="22081.800000000003"/>
    <s v="October"/>
    <n v="0.81155042007541522"/>
    <m/>
    <m/>
  </r>
  <r>
    <s v="ORD00153"/>
    <s v="2025-02-28"/>
    <x v="0"/>
    <x v="4"/>
    <s v="Office Supplies"/>
    <n v="16711.759999999998"/>
    <n v="4407.05"/>
    <n v="15"/>
    <n v="12304.71"/>
    <s v="February"/>
    <n v="0.73629049244364453"/>
    <m/>
    <m/>
  </r>
  <r>
    <s v="ORD00154"/>
    <s v="2025-07-07"/>
    <x v="1"/>
    <x v="0"/>
    <s v="Accessories"/>
    <n v="43269.16"/>
    <n v="4517.22"/>
    <n v="19"/>
    <n v="38751.94"/>
    <s v="July"/>
    <n v="0.89560185591770214"/>
    <m/>
    <m/>
  </r>
  <r>
    <s v="ORD00155"/>
    <s v="2025-10-26"/>
    <x v="2"/>
    <x v="2"/>
    <s v="Electronics"/>
    <n v="10691.22"/>
    <n v="2820.05"/>
    <n v="16"/>
    <n v="7871.1699999999992"/>
    <s v="October"/>
    <n v="0.73622748386058834"/>
    <m/>
    <m/>
  </r>
  <r>
    <s v="ORD00156"/>
    <s v="2025-09-21"/>
    <x v="3"/>
    <x v="2"/>
    <s v="Electronics"/>
    <n v="49261.72"/>
    <n v="7460.89"/>
    <n v="19"/>
    <n v="41800.83"/>
    <s v="September"/>
    <n v="0.84854588918129537"/>
    <m/>
    <m/>
  </r>
  <r>
    <s v="ORD00157"/>
    <s v="2025-01-30"/>
    <x v="0"/>
    <x v="3"/>
    <s v="Electronics"/>
    <n v="32011.54"/>
    <n v="2767.34"/>
    <n v="8"/>
    <n v="29244.2"/>
    <s v="January"/>
    <n v="0.91355180038198724"/>
    <m/>
    <m/>
  </r>
  <r>
    <s v="ORD00158"/>
    <s v="2025-01-23"/>
    <x v="1"/>
    <x v="1"/>
    <s v="Electronics"/>
    <n v="10602.35"/>
    <n v="707.23"/>
    <n v="8"/>
    <n v="9895.1200000000008"/>
    <s v="January"/>
    <n v="0.93329497705697329"/>
    <m/>
    <m/>
  </r>
  <r>
    <s v="ORD00159"/>
    <s v="2025-09-10"/>
    <x v="1"/>
    <x v="4"/>
    <s v="Accessories"/>
    <n v="31405.71"/>
    <n v="7217.37"/>
    <n v="5"/>
    <n v="24188.34"/>
    <s v="September"/>
    <n v="0.77018924265682898"/>
    <m/>
    <m/>
  </r>
  <r>
    <s v="ORD00160"/>
    <s v="2025-06-23"/>
    <x v="3"/>
    <x v="1"/>
    <s v="Accessories"/>
    <n v="23591.54"/>
    <n v="6321.8"/>
    <n v="19"/>
    <n v="17269.740000000002"/>
    <s v="June"/>
    <n v="0.73203105859134254"/>
    <m/>
    <m/>
  </r>
  <r>
    <s v="ORD00161"/>
    <s v="2025-06-05"/>
    <x v="2"/>
    <x v="4"/>
    <s v="Accessories"/>
    <n v="48811.44"/>
    <n v="8761.89"/>
    <n v="12"/>
    <n v="40049.550000000003"/>
    <s v="June"/>
    <n v="0.82049515441462084"/>
    <m/>
    <m/>
  </r>
  <r>
    <s v="ORD00162"/>
    <s v="2025-05-30"/>
    <x v="2"/>
    <x v="5"/>
    <s v="Accessories"/>
    <n v="43895.85"/>
    <n v="7939.18"/>
    <n v="5"/>
    <n v="35956.67"/>
    <s v="May"/>
    <n v="0.81913597754685241"/>
    <m/>
    <m/>
  </r>
  <r>
    <s v="ORD00163"/>
    <s v="2025-07-04"/>
    <x v="0"/>
    <x v="3"/>
    <s v="Office Supplies"/>
    <n v="29044.73"/>
    <n v="3498.59"/>
    <n v="19"/>
    <n v="25546.14"/>
    <s v="July"/>
    <n v="0.87954475734496407"/>
    <m/>
    <m/>
  </r>
  <r>
    <s v="ORD00164"/>
    <s v="2025-09-08"/>
    <x v="2"/>
    <x v="5"/>
    <s v="Accessories"/>
    <n v="37124.06"/>
    <n v="10697.55"/>
    <n v="19"/>
    <n v="26426.51"/>
    <s v="September"/>
    <n v="0.71184320895936493"/>
    <m/>
    <m/>
  </r>
  <r>
    <s v="ORD00165"/>
    <s v="2025-09-28"/>
    <x v="1"/>
    <x v="4"/>
    <s v="Office Supplies"/>
    <n v="20342.25"/>
    <n v="5196.6099999999997"/>
    <n v="13"/>
    <n v="15145.64"/>
    <s v="September"/>
    <n v="0.74454104142855382"/>
    <m/>
    <m/>
  </r>
  <r>
    <s v="ORD00166"/>
    <s v="2025-06-12"/>
    <x v="3"/>
    <x v="5"/>
    <s v="Electronics"/>
    <n v="11149.82"/>
    <n v="2926.7"/>
    <n v="9"/>
    <n v="8223.119999999999"/>
    <s v="June"/>
    <n v="0.73751145758406855"/>
    <m/>
    <m/>
  </r>
  <r>
    <s v="ORD00167"/>
    <s v="2025-12-08"/>
    <x v="0"/>
    <x v="0"/>
    <s v="Electronics"/>
    <n v="29951.19"/>
    <n v="8285.4699999999993"/>
    <n v="10"/>
    <n v="21665.72"/>
    <s v="December"/>
    <n v="0.72336758572864723"/>
    <m/>
    <m/>
  </r>
  <r>
    <s v="ORD00168"/>
    <s v="2025-11-24"/>
    <x v="3"/>
    <x v="4"/>
    <s v="Accessories"/>
    <n v="27656.400000000001"/>
    <n v="2092.7800000000002"/>
    <n v="14"/>
    <n v="25563.620000000003"/>
    <s v="November"/>
    <n v="0.92432926917458536"/>
    <m/>
    <m/>
  </r>
  <r>
    <s v="ORD00169"/>
    <s v="2025-05-17"/>
    <x v="2"/>
    <x v="3"/>
    <s v="Accessories"/>
    <n v="12632.81"/>
    <n v="957.8"/>
    <n v="10"/>
    <n v="11675.01"/>
    <s v="May"/>
    <n v="0.9241815558058738"/>
    <m/>
    <m/>
  </r>
  <r>
    <s v="ORD00170"/>
    <s v="2025-07-15"/>
    <x v="2"/>
    <x v="4"/>
    <s v="Office Supplies"/>
    <n v="47397.42"/>
    <n v="12655.36"/>
    <n v="7"/>
    <n v="34742.06"/>
    <s v="July"/>
    <n v="0.73299474950324295"/>
    <m/>
    <m/>
  </r>
  <r>
    <s v="ORD00171"/>
    <s v="2025-04-17"/>
    <x v="3"/>
    <x v="4"/>
    <s v="Accessories"/>
    <n v="44827.3"/>
    <n v="9140.0400000000009"/>
    <n v="5"/>
    <n v="35687.26"/>
    <s v="April"/>
    <n v="0.79610549821202703"/>
    <m/>
    <m/>
  </r>
  <r>
    <s v="ORD00172"/>
    <s v="2025-03-09"/>
    <x v="0"/>
    <x v="3"/>
    <s v="Electronics"/>
    <n v="45577.26"/>
    <n v="10973.04"/>
    <n v="16"/>
    <n v="34604.22"/>
    <s v="March"/>
    <n v="0.7592430962282507"/>
    <m/>
    <m/>
  </r>
  <r>
    <s v="ORD00173"/>
    <s v="2025-09-25"/>
    <x v="0"/>
    <x v="0"/>
    <s v="Office Supplies"/>
    <n v="23654.41"/>
    <n v="5965.94"/>
    <n v="1"/>
    <n v="17688.47"/>
    <s v="September"/>
    <n v="0.74778741046595543"/>
    <m/>
    <m/>
  </r>
  <r>
    <s v="ORD00174"/>
    <s v="2025-02-03"/>
    <x v="1"/>
    <x v="2"/>
    <s v="Accessories"/>
    <n v="14279.39"/>
    <n v="1047.1099999999999"/>
    <n v="17"/>
    <n v="13232.279999999999"/>
    <s v="February"/>
    <n v="0.92666983673672332"/>
    <m/>
    <m/>
  </r>
  <r>
    <s v="ORD00175"/>
    <s v="2025-09-07"/>
    <x v="2"/>
    <x v="2"/>
    <s v="Accessories"/>
    <n v="40833.589999999997"/>
    <n v="5237.83"/>
    <n v="9"/>
    <n v="35595.759999999995"/>
    <s v="September"/>
    <n v="0.87172741852969571"/>
    <m/>
    <m/>
  </r>
  <r>
    <s v="ORD00176"/>
    <s v="2025-10-05"/>
    <x v="3"/>
    <x v="2"/>
    <s v="Office Supplies"/>
    <n v="43524.5"/>
    <n v="6782.98"/>
    <n v="11"/>
    <n v="36741.520000000004"/>
    <s v="October"/>
    <n v="0.84415719881905604"/>
    <m/>
    <m/>
  </r>
  <r>
    <s v="ORD00177"/>
    <s v="2025-09-25"/>
    <x v="1"/>
    <x v="0"/>
    <s v="Accessories"/>
    <n v="12738.26"/>
    <n v="3492.24"/>
    <n v="5"/>
    <n v="9246.02"/>
    <s v="September"/>
    <n v="0.72584638718317884"/>
    <m/>
    <m/>
  </r>
  <r>
    <s v="ORD00178"/>
    <s v="2025-06-06"/>
    <x v="0"/>
    <x v="4"/>
    <s v="Electronics"/>
    <n v="10228.52"/>
    <n v="1395.21"/>
    <n v="18"/>
    <n v="8833.3100000000013"/>
    <s v="June"/>
    <n v="0.86359610187984193"/>
    <m/>
    <m/>
  </r>
  <r>
    <s v="ORD00179"/>
    <s v="2025-12-23"/>
    <x v="3"/>
    <x v="0"/>
    <s v="Office Supplies"/>
    <n v="43865.22"/>
    <n v="11377.95"/>
    <n v="3"/>
    <n v="32487.27"/>
    <s v="December"/>
    <n v="0.7406156859580324"/>
    <m/>
    <m/>
  </r>
  <r>
    <s v="ORD00180"/>
    <s v="2025-04-03"/>
    <x v="3"/>
    <x v="1"/>
    <s v="Office Supplies"/>
    <n v="6272.25"/>
    <n v="1267.01"/>
    <n v="18"/>
    <n v="5005.24"/>
    <s v="April"/>
    <n v="0.79799752879748098"/>
    <m/>
    <m/>
  </r>
  <r>
    <s v="ORD00181"/>
    <s v="2025-03-03"/>
    <x v="3"/>
    <x v="4"/>
    <s v="Accessories"/>
    <n v="3009.58"/>
    <n v="349.32"/>
    <n v="6"/>
    <n v="2660.2599999999998"/>
    <s v="March"/>
    <n v="0.88393064813030386"/>
    <m/>
    <m/>
  </r>
  <r>
    <s v="ORD00182"/>
    <s v="2025-02-28"/>
    <x v="3"/>
    <x v="0"/>
    <s v="Accessories"/>
    <n v="14020.62"/>
    <n v="2193.36"/>
    <n v="4"/>
    <n v="11827.26"/>
    <s v="February"/>
    <n v="0.84356183963333997"/>
    <m/>
    <m/>
  </r>
  <r>
    <s v="ORD00183"/>
    <s v="2025-05-18"/>
    <x v="3"/>
    <x v="4"/>
    <s v="Office Supplies"/>
    <n v="38450.79"/>
    <n v="4482.99"/>
    <n v="18"/>
    <n v="33967.800000000003"/>
    <s v="May"/>
    <n v="0.8834096776685213"/>
    <m/>
    <m/>
  </r>
  <r>
    <s v="ORD00184"/>
    <s v="2025-07-27"/>
    <x v="2"/>
    <x v="1"/>
    <s v="Electronics"/>
    <n v="46218.62"/>
    <n v="11832.64"/>
    <n v="13"/>
    <n v="34385.980000000003"/>
    <s v="July"/>
    <n v="0.7439854327108858"/>
    <m/>
    <m/>
  </r>
  <r>
    <s v="ORD00185"/>
    <s v="2025-05-18"/>
    <x v="2"/>
    <x v="0"/>
    <s v="Office Supplies"/>
    <n v="47333.43"/>
    <n v="7948.4"/>
    <n v="2"/>
    <n v="39385.03"/>
    <s v="May"/>
    <n v="0.83207639928059296"/>
    <m/>
    <m/>
  </r>
  <r>
    <s v="ORD00186"/>
    <s v="2025-09-22"/>
    <x v="2"/>
    <x v="5"/>
    <s v="Accessories"/>
    <n v="14911.18"/>
    <n v="1392.4"/>
    <n v="17"/>
    <n v="13518.78"/>
    <s v="September"/>
    <n v="0.90662040160470203"/>
    <m/>
    <m/>
  </r>
  <r>
    <s v="ORD00187"/>
    <s v="2025-02-12"/>
    <x v="0"/>
    <x v="3"/>
    <s v="Accessories"/>
    <n v="45463.37"/>
    <n v="6461.92"/>
    <n v="18"/>
    <n v="39001.450000000004"/>
    <s v="February"/>
    <n v="0.85786535402017061"/>
    <m/>
    <m/>
  </r>
  <r>
    <s v="ORD00188"/>
    <s v="2025-12-22"/>
    <x v="3"/>
    <x v="1"/>
    <s v="Electronics"/>
    <n v="30549.79"/>
    <n v="8620.8799999999992"/>
    <n v="8"/>
    <n v="21928.910000000003"/>
    <s v="December"/>
    <n v="0.7178088621885782"/>
    <m/>
    <m/>
  </r>
  <r>
    <s v="ORD00189"/>
    <s v="2025-04-14"/>
    <x v="1"/>
    <x v="4"/>
    <s v="Electronics"/>
    <n v="8391.06"/>
    <n v="909.07"/>
    <n v="12"/>
    <n v="7481.99"/>
    <s v="April"/>
    <n v="0.8916620784501601"/>
    <m/>
    <m/>
  </r>
  <r>
    <s v="ORD00190"/>
    <s v="2025-02-13"/>
    <x v="1"/>
    <x v="5"/>
    <s v="Office Supplies"/>
    <n v="6222.57"/>
    <n v="1299.42"/>
    <n v="17"/>
    <n v="4923.1499999999996"/>
    <s v="February"/>
    <n v="0.7911763146095584"/>
    <m/>
    <m/>
  </r>
  <r>
    <s v="ORD00191"/>
    <s v="2025-06-20"/>
    <x v="2"/>
    <x v="5"/>
    <s v="Electronics"/>
    <n v="34691.379999999997"/>
    <n v="3743.11"/>
    <n v="17"/>
    <n v="30948.269999999997"/>
    <s v="June"/>
    <n v="0.89210259147949722"/>
    <m/>
    <m/>
  </r>
  <r>
    <s v="ORD00192"/>
    <s v="2025-03-30"/>
    <x v="2"/>
    <x v="3"/>
    <s v="Electronics"/>
    <n v="19329.900000000001"/>
    <n v="1552.44"/>
    <n v="18"/>
    <n v="17777.460000000003"/>
    <s v="March"/>
    <n v="0.91968711685006133"/>
    <m/>
    <m/>
  </r>
  <r>
    <s v="ORD00193"/>
    <s v="2025-08-14"/>
    <x v="0"/>
    <x v="2"/>
    <s v="Office Supplies"/>
    <n v="22963.71"/>
    <n v="3680.4"/>
    <n v="6"/>
    <n v="19283.309999999998"/>
    <s v="August"/>
    <n v="0.83972973008281315"/>
    <m/>
    <m/>
  </r>
  <r>
    <s v="ORD00194"/>
    <s v="2025-11-09"/>
    <x v="3"/>
    <x v="0"/>
    <s v="Electronics"/>
    <n v="47608.08"/>
    <n v="5224.42"/>
    <n v="5"/>
    <n v="42383.66"/>
    <s v="November"/>
    <n v="0.89026190512198777"/>
    <m/>
    <m/>
  </r>
  <r>
    <s v="ORD00195"/>
    <s v="2025-10-21"/>
    <x v="1"/>
    <x v="2"/>
    <s v="Office Supplies"/>
    <n v="23920.37"/>
    <n v="1497.19"/>
    <n v="9"/>
    <n v="22423.18"/>
    <s v="October"/>
    <n v="0.93740941298148817"/>
    <m/>
    <m/>
  </r>
  <r>
    <s v="ORD00196"/>
    <s v="2025-11-18"/>
    <x v="0"/>
    <x v="2"/>
    <s v="Office Supplies"/>
    <n v="11883.72"/>
    <n v="2259.52"/>
    <n v="2"/>
    <n v="9624.1999999999989"/>
    <s v="November"/>
    <n v="0.8098642512613895"/>
    <m/>
    <m/>
  </r>
  <r>
    <s v="ORD00197"/>
    <s v="2025-03-16"/>
    <x v="1"/>
    <x v="0"/>
    <s v="Accessories"/>
    <n v="47600.9"/>
    <n v="8070.9"/>
    <n v="16"/>
    <n v="39530"/>
    <s v="March"/>
    <n v="0.83044648315473024"/>
    <m/>
    <m/>
  </r>
  <r>
    <s v="ORD00198"/>
    <s v="2025-10-09"/>
    <x v="3"/>
    <x v="0"/>
    <s v="Electronics"/>
    <n v="11295.96"/>
    <n v="2396.46"/>
    <n v="15"/>
    <n v="8899.5"/>
    <s v="October"/>
    <n v="0.7878480447876941"/>
    <m/>
    <m/>
  </r>
  <r>
    <s v="ORD00199"/>
    <s v="2025-01-08"/>
    <x v="1"/>
    <x v="3"/>
    <s v="Office Supplies"/>
    <n v="22757.73"/>
    <n v="3557.07"/>
    <n v="16"/>
    <n v="19200.66"/>
    <s v="January"/>
    <n v="0.84369838292307708"/>
    <m/>
    <m/>
  </r>
  <r>
    <s v="ORD00200"/>
    <s v="2025-08-14"/>
    <x v="2"/>
    <x v="5"/>
    <s v="Accessories"/>
    <n v="23575.15"/>
    <n v="5884.63"/>
    <n v="12"/>
    <n v="17690.52"/>
    <s v="August"/>
    <n v="0.75038843867377303"/>
    <m/>
    <m/>
  </r>
  <r>
    <s v="ORD00201"/>
    <s v="2025-12-03"/>
    <x v="2"/>
    <x v="5"/>
    <s v="Accessories"/>
    <n v="8507.73"/>
    <n v="1395.03"/>
    <n v="6"/>
    <n v="7112.7"/>
    <s v="December"/>
    <n v="0.83602794164835981"/>
    <m/>
    <m/>
  </r>
  <r>
    <s v="ORD00202"/>
    <s v="2025-11-23"/>
    <x v="2"/>
    <x v="1"/>
    <s v="Office Supplies"/>
    <n v="38739.64"/>
    <n v="4183.5600000000004"/>
    <n v="8"/>
    <n v="34556.080000000002"/>
    <s v="November"/>
    <n v="0.89200828918389541"/>
    <m/>
    <m/>
  </r>
  <r>
    <s v="ORD00203"/>
    <s v="2025-07-08"/>
    <x v="1"/>
    <x v="1"/>
    <s v="Electronics"/>
    <n v="874.21"/>
    <n v="56.44"/>
    <n v="8"/>
    <n v="817.77"/>
    <s v="July"/>
    <n v="0.93543885336475208"/>
    <m/>
    <m/>
  </r>
  <r>
    <s v="ORD00204"/>
    <s v="2025-06-06"/>
    <x v="1"/>
    <x v="1"/>
    <s v="Electronics"/>
    <n v="35821.5"/>
    <n v="4072.9"/>
    <n v="18"/>
    <n v="31748.6"/>
    <s v="June"/>
    <n v="0.88630012701868988"/>
    <m/>
    <m/>
  </r>
  <r>
    <s v="ORD00205"/>
    <s v="2025-01-10"/>
    <x v="2"/>
    <x v="5"/>
    <s v="Office Supplies"/>
    <n v="43278.6"/>
    <n v="4627.13"/>
    <n v="11"/>
    <n v="38651.47"/>
    <s v="January"/>
    <n v="0.89308503509817794"/>
    <m/>
    <m/>
  </r>
  <r>
    <s v="ORD00206"/>
    <s v="2025-03-02"/>
    <x v="3"/>
    <x v="0"/>
    <s v="Office Supplies"/>
    <n v="43833.53"/>
    <n v="10202.799999999999"/>
    <n v="17"/>
    <n v="33630.729999999996"/>
    <s v="March"/>
    <n v="0.7672375462345834"/>
    <m/>
    <m/>
  </r>
  <r>
    <s v="ORD00207"/>
    <s v="2025-04-14"/>
    <x v="2"/>
    <x v="0"/>
    <s v="Electronics"/>
    <n v="17071.04"/>
    <n v="5088.5600000000004"/>
    <n v="1"/>
    <n v="11982.48"/>
    <s v="April"/>
    <n v="0.70191857086621545"/>
    <m/>
    <m/>
  </r>
  <r>
    <s v="ORD00208"/>
    <s v="2025-02-27"/>
    <x v="0"/>
    <x v="1"/>
    <s v="Electronics"/>
    <n v="42417.9"/>
    <n v="4452.42"/>
    <n v="17"/>
    <n v="37965.480000000003"/>
    <s v="February"/>
    <n v="0.89503440764394282"/>
    <m/>
    <m/>
  </r>
  <r>
    <s v="ORD00209"/>
    <s v="2025-04-13"/>
    <x v="0"/>
    <x v="5"/>
    <s v="Electronics"/>
    <n v="26667.1"/>
    <n v="7987.58"/>
    <n v="17"/>
    <n v="18679.519999999997"/>
    <s v="April"/>
    <n v="0.70047061735246796"/>
    <m/>
    <m/>
  </r>
  <r>
    <s v="ORD00210"/>
    <s v="2025-06-10"/>
    <x v="1"/>
    <x v="4"/>
    <s v="Accessories"/>
    <n v="28323.69"/>
    <n v="7083.14"/>
    <n v="12"/>
    <n v="21240.55"/>
    <s v="June"/>
    <n v="0.74992170864742558"/>
    <m/>
    <m/>
  </r>
  <r>
    <s v="ORD00211"/>
    <s v="2025-12-23"/>
    <x v="3"/>
    <x v="5"/>
    <s v="Electronics"/>
    <n v="34137.300000000003"/>
    <n v="4734.63"/>
    <n v="1"/>
    <n v="29402.670000000002"/>
    <s v="December"/>
    <n v="0.86130625444894582"/>
    <m/>
    <m/>
  </r>
  <r>
    <s v="ORD00212"/>
    <s v="2025-11-01"/>
    <x v="3"/>
    <x v="2"/>
    <s v="Office Supplies"/>
    <n v="46632.74"/>
    <n v="11103.46"/>
    <n v="3"/>
    <n v="35529.279999999999"/>
    <s v="November"/>
    <n v="0.76189561239592618"/>
    <m/>
    <m/>
  </r>
  <r>
    <s v="ORD00213"/>
    <s v="2025-12-11"/>
    <x v="1"/>
    <x v="5"/>
    <s v="Accessories"/>
    <n v="44155.18"/>
    <n v="4343.62"/>
    <n v="15"/>
    <n v="39811.56"/>
    <s v="December"/>
    <n v="0.90162830272688277"/>
    <m/>
    <m/>
  </r>
  <r>
    <s v="ORD00214"/>
    <s v="2025-02-04"/>
    <x v="2"/>
    <x v="3"/>
    <s v="Office Supplies"/>
    <n v="2204.27"/>
    <n v="340.98"/>
    <n v="3"/>
    <n v="1863.29"/>
    <s v="February"/>
    <n v="0.84530933143398945"/>
    <m/>
    <m/>
  </r>
  <r>
    <s v="ORD00215"/>
    <s v="2025-11-01"/>
    <x v="3"/>
    <x v="5"/>
    <s v="Accessories"/>
    <n v="24264.720000000001"/>
    <n v="2796.8"/>
    <n v="4"/>
    <n v="21467.920000000002"/>
    <s v="November"/>
    <n v="0.88473800645546297"/>
    <m/>
    <m/>
  </r>
  <r>
    <s v="ORD00216"/>
    <s v="2025-04-28"/>
    <x v="0"/>
    <x v="5"/>
    <s v="Office Supplies"/>
    <n v="38080.639999999999"/>
    <n v="6461.71"/>
    <n v="13"/>
    <n v="31618.93"/>
    <s v="April"/>
    <n v="0.83031508924219766"/>
    <m/>
    <m/>
  </r>
  <r>
    <s v="ORD00217"/>
    <s v="2025-08-17"/>
    <x v="1"/>
    <x v="4"/>
    <s v="Accessories"/>
    <n v="8469.3700000000008"/>
    <n v="1657.09"/>
    <n v="20"/>
    <n v="6812.2800000000007"/>
    <s v="August"/>
    <n v="0.8043431801893175"/>
    <m/>
    <m/>
  </r>
  <r>
    <s v="ORD00218"/>
    <s v="2025-11-05"/>
    <x v="3"/>
    <x v="0"/>
    <s v="Electronics"/>
    <n v="32087.14"/>
    <n v="2807.01"/>
    <n v="18"/>
    <n v="29280.129999999997"/>
    <s v="November"/>
    <n v="0.91251915876578582"/>
    <m/>
    <m/>
  </r>
  <r>
    <s v="ORD00219"/>
    <s v="2025-04-29"/>
    <x v="3"/>
    <x v="1"/>
    <s v="Office Supplies"/>
    <n v="3595.36"/>
    <n v="663.2"/>
    <n v="11"/>
    <n v="2932.16"/>
    <s v="April"/>
    <n v="0.81554002937118941"/>
    <m/>
    <m/>
  </r>
  <r>
    <s v="ORD00220"/>
    <s v="2025-07-03"/>
    <x v="2"/>
    <x v="5"/>
    <s v="Office Supplies"/>
    <n v="8850.56"/>
    <n v="2541.12"/>
    <n v="1"/>
    <n v="6309.44"/>
    <s v="July"/>
    <n v="0.71288596427796658"/>
    <m/>
    <m/>
  </r>
  <r>
    <s v="ORD00221"/>
    <s v="2025-09-12"/>
    <x v="1"/>
    <x v="1"/>
    <s v="Electronics"/>
    <n v="21248.27"/>
    <n v="4540.03"/>
    <n v="2"/>
    <n v="16708.240000000002"/>
    <s v="September"/>
    <n v="0.78633413449659673"/>
    <m/>
    <m/>
  </r>
  <r>
    <s v="ORD00222"/>
    <s v="2025-04-11"/>
    <x v="1"/>
    <x v="0"/>
    <s v="Office Supplies"/>
    <n v="39517.129999999997"/>
    <n v="11379.96"/>
    <n v="13"/>
    <n v="28137.17"/>
    <s v="April"/>
    <n v="0.71202463336785848"/>
    <m/>
    <m/>
  </r>
  <r>
    <s v="ORD00223"/>
    <s v="2025-11-02"/>
    <x v="3"/>
    <x v="2"/>
    <s v="Electronics"/>
    <n v="33115.42"/>
    <n v="7994.75"/>
    <n v="7"/>
    <n v="25120.67"/>
    <s v="November"/>
    <n v="0.75857923589675136"/>
    <m/>
    <m/>
  </r>
  <r>
    <s v="ORD00224"/>
    <s v="2025-03-25"/>
    <x v="1"/>
    <x v="1"/>
    <s v="Office Supplies"/>
    <n v="31048.5"/>
    <n v="2865.6"/>
    <n v="15"/>
    <n v="28182.9"/>
    <s v="March"/>
    <n v="0.907705686265037"/>
    <m/>
    <m/>
  </r>
  <r>
    <s v="ORD00225"/>
    <s v="2025-08-13"/>
    <x v="1"/>
    <x v="3"/>
    <s v="Accessories"/>
    <n v="30832.78"/>
    <n v="9063.0300000000007"/>
    <n v="7"/>
    <n v="21769.75"/>
    <s v="August"/>
    <n v="0.70605861683571836"/>
    <m/>
    <m/>
  </r>
  <r>
    <s v="ORD00226"/>
    <s v="2025-06-24"/>
    <x v="2"/>
    <x v="4"/>
    <s v="Electronics"/>
    <n v="38104.18"/>
    <n v="3955.67"/>
    <n v="16"/>
    <n v="34148.51"/>
    <s v="June"/>
    <n v="0.89618802976471357"/>
    <m/>
    <m/>
  </r>
  <r>
    <s v="ORD00227"/>
    <s v="2025-02-10"/>
    <x v="2"/>
    <x v="3"/>
    <s v="Electronics"/>
    <n v="20902.68"/>
    <n v="1146.6500000000001"/>
    <n v="9"/>
    <n v="19756.03"/>
    <s v="February"/>
    <n v="0.94514339788008039"/>
    <m/>
    <m/>
  </r>
  <r>
    <s v="ORD00228"/>
    <s v="2025-08-20"/>
    <x v="3"/>
    <x v="1"/>
    <s v="Electronics"/>
    <n v="26079.56"/>
    <n v="6506.29"/>
    <n v="11"/>
    <n v="19573.27"/>
    <s v="August"/>
    <n v="0.75052148119063355"/>
    <m/>
    <m/>
  </r>
  <r>
    <s v="ORD00229"/>
    <s v="2025-09-21"/>
    <x v="0"/>
    <x v="3"/>
    <s v="Electronics"/>
    <n v="846.08"/>
    <n v="135.78"/>
    <n v="9"/>
    <n v="710.30000000000007"/>
    <s v="September"/>
    <n v="0.83951872163388808"/>
    <m/>
    <m/>
  </r>
  <r>
    <s v="ORD00230"/>
    <s v="2025-10-15"/>
    <x v="1"/>
    <x v="4"/>
    <s v="Office Supplies"/>
    <n v="27250.47"/>
    <n v="6291.46"/>
    <n v="7"/>
    <n v="20959.010000000002"/>
    <s v="October"/>
    <n v="0.76912471601407251"/>
    <m/>
    <m/>
  </r>
  <r>
    <s v="ORD00231"/>
    <s v="2025-07-08"/>
    <x v="3"/>
    <x v="3"/>
    <s v="Accessories"/>
    <n v="5533.46"/>
    <n v="1218.3800000000001"/>
    <n v="20"/>
    <n v="4315.08"/>
    <s v="July"/>
    <n v="0.77981588373278199"/>
    <m/>
    <m/>
  </r>
  <r>
    <s v="ORD00232"/>
    <s v="2025-02-25"/>
    <x v="3"/>
    <x v="3"/>
    <s v="Electronics"/>
    <n v="12625.43"/>
    <n v="1388.39"/>
    <n v="15"/>
    <n v="11237.04"/>
    <s v="February"/>
    <n v="0.89003226028737248"/>
    <m/>
    <m/>
  </r>
  <r>
    <s v="ORD00233"/>
    <s v="2025-08-21"/>
    <x v="0"/>
    <x v="4"/>
    <s v="Electronics"/>
    <n v="5600.94"/>
    <n v="548.49"/>
    <n v="12"/>
    <n v="5052.45"/>
    <s v="August"/>
    <n v="0.90207179509153823"/>
    <m/>
    <m/>
  </r>
  <r>
    <s v="ORD00234"/>
    <s v="2025-07-23"/>
    <x v="2"/>
    <x v="4"/>
    <s v="Office Supplies"/>
    <n v="21529.67"/>
    <n v="1480.5"/>
    <n v="4"/>
    <n v="20049.169999999998"/>
    <s v="July"/>
    <n v="0.93123443136843254"/>
    <m/>
    <m/>
  </r>
  <r>
    <s v="ORD00235"/>
    <s v="2025-06-16"/>
    <x v="3"/>
    <x v="4"/>
    <s v="Accessories"/>
    <n v="40111.79"/>
    <n v="10286.969999999999"/>
    <n v="7"/>
    <n v="29824.82"/>
    <s v="June"/>
    <n v="0.74354248464104944"/>
    <m/>
    <m/>
  </r>
  <r>
    <s v="ORD00236"/>
    <s v="2025-10-02"/>
    <x v="3"/>
    <x v="0"/>
    <s v="Office Supplies"/>
    <n v="34782.089999999997"/>
    <n v="6290.12"/>
    <n v="5"/>
    <n v="28491.969999999998"/>
    <s v="October"/>
    <n v="0.81915635316911661"/>
    <m/>
    <m/>
  </r>
  <r>
    <s v="ORD00237"/>
    <s v="2025-12-08"/>
    <x v="2"/>
    <x v="5"/>
    <s v="Accessories"/>
    <n v="36364.18"/>
    <n v="7258.35"/>
    <n v="16"/>
    <n v="29105.83"/>
    <s v="December"/>
    <n v="0.80039835904453227"/>
    <m/>
    <m/>
  </r>
  <r>
    <s v="ORD00238"/>
    <s v="2025-12-13"/>
    <x v="0"/>
    <x v="2"/>
    <s v="Electronics"/>
    <n v="29004.05"/>
    <n v="4170.17"/>
    <n v="17"/>
    <n v="24833.879999999997"/>
    <s v="December"/>
    <n v="0.85622111394787959"/>
    <m/>
    <m/>
  </r>
  <r>
    <s v="ORD00239"/>
    <s v="2025-10-29"/>
    <x v="0"/>
    <x v="5"/>
    <s v="Office Supplies"/>
    <n v="16065.58"/>
    <n v="1906.4"/>
    <n v="18"/>
    <n v="14159.18"/>
    <s v="October"/>
    <n v="0.8813363725430392"/>
    <m/>
    <m/>
  </r>
  <r>
    <s v="ORD00240"/>
    <s v="2025-08-03"/>
    <x v="2"/>
    <x v="5"/>
    <s v="Office Supplies"/>
    <n v="12711.71"/>
    <n v="3206.35"/>
    <n v="8"/>
    <n v="9505.3599999999988"/>
    <s v="August"/>
    <n v="0.74776406950756424"/>
    <m/>
    <m/>
  </r>
  <r>
    <s v="ORD00241"/>
    <s v="2025-04-03"/>
    <x v="3"/>
    <x v="5"/>
    <s v="Accessories"/>
    <n v="36732.959999999999"/>
    <n v="5448.39"/>
    <n v="1"/>
    <n v="31284.57"/>
    <s v="April"/>
    <n v="0.85167571576045054"/>
    <m/>
    <m/>
  </r>
  <r>
    <s v="ORD00242"/>
    <s v="2025-08-05"/>
    <x v="2"/>
    <x v="5"/>
    <s v="Office Supplies"/>
    <n v="5830.72"/>
    <n v="370.47"/>
    <n v="8"/>
    <n v="5460.25"/>
    <s v="August"/>
    <n v="0.93646239229460504"/>
    <m/>
    <m/>
  </r>
  <r>
    <s v="ORD00243"/>
    <s v="2025-09-09"/>
    <x v="3"/>
    <x v="4"/>
    <s v="Electronics"/>
    <n v="36753.03"/>
    <n v="1919.61"/>
    <n v="8"/>
    <n v="34833.42"/>
    <s v="September"/>
    <n v="0.94777002059422033"/>
    <m/>
    <m/>
  </r>
  <r>
    <s v="ORD00244"/>
    <s v="2025-12-31"/>
    <x v="1"/>
    <x v="3"/>
    <s v="Accessories"/>
    <n v="13629.5"/>
    <n v="3042.16"/>
    <n v="7"/>
    <n v="10587.34"/>
    <s v="December"/>
    <n v="0.77679592061337543"/>
    <m/>
    <m/>
  </r>
  <r>
    <s v="ORD00245"/>
    <s v="2025-12-12"/>
    <x v="3"/>
    <x v="3"/>
    <s v="Office Supplies"/>
    <n v="19473.39"/>
    <n v="4698.09"/>
    <n v="2"/>
    <n v="14775.3"/>
    <s v="December"/>
    <n v="0.75874308479417296"/>
    <m/>
    <m/>
  </r>
  <r>
    <s v="ORD00246"/>
    <s v="2025-07-08"/>
    <x v="2"/>
    <x v="0"/>
    <s v="Accessories"/>
    <n v="17455.849999999999"/>
    <n v="2719.73"/>
    <n v="13"/>
    <n v="14736.119999999999"/>
    <s v="July"/>
    <n v="0.84419378030860714"/>
    <m/>
    <m/>
  </r>
  <r>
    <s v="ORD00247"/>
    <s v="2025-10-19"/>
    <x v="2"/>
    <x v="3"/>
    <s v="Office Supplies"/>
    <n v="15281.49"/>
    <n v="3341.09"/>
    <n v="10"/>
    <n v="11940.4"/>
    <s v="October"/>
    <n v="0.78136359739789774"/>
    <m/>
    <m/>
  </r>
  <r>
    <s v="ORD00248"/>
    <s v="2025-04-22"/>
    <x v="0"/>
    <x v="2"/>
    <s v="Office Supplies"/>
    <n v="35395.949999999997"/>
    <n v="6422.93"/>
    <n v="13"/>
    <n v="28973.019999999997"/>
    <s v="April"/>
    <n v="0.81854053924248393"/>
    <m/>
    <m/>
  </r>
  <r>
    <s v="ORD00249"/>
    <s v="2025-10-15"/>
    <x v="0"/>
    <x v="5"/>
    <s v="Office Supplies"/>
    <n v="2212.91"/>
    <n v="642.46"/>
    <n v="15"/>
    <n v="1570.4499999999998"/>
    <s v="October"/>
    <n v="0.70967639894979906"/>
    <m/>
    <m/>
  </r>
  <r>
    <s v="ORD00250"/>
    <s v="2025-02-25"/>
    <x v="2"/>
    <x v="0"/>
    <s v="Accessories"/>
    <n v="5025.83"/>
    <n v="1455.71"/>
    <n v="12"/>
    <n v="3570.12"/>
    <s v="February"/>
    <n v="0.71035430963641821"/>
    <m/>
    <m/>
  </r>
  <r>
    <s v="ORD00251"/>
    <s v="2025-01-11"/>
    <x v="1"/>
    <x v="5"/>
    <s v="Electronics"/>
    <n v="22712.09"/>
    <n v="6450.68"/>
    <n v="5"/>
    <n v="16261.41"/>
    <s v="January"/>
    <n v="0.71598034350867756"/>
    <m/>
    <m/>
  </r>
  <r>
    <s v="ORD00252"/>
    <s v="2025-12-11"/>
    <x v="1"/>
    <x v="3"/>
    <s v="Office Supplies"/>
    <n v="43086.36"/>
    <n v="6632.49"/>
    <n v="11"/>
    <n v="36453.870000000003"/>
    <s v="December"/>
    <n v="0.8460652048583357"/>
    <m/>
    <m/>
  </r>
  <r>
    <s v="ORD00253"/>
    <s v="2025-08-24"/>
    <x v="2"/>
    <x v="2"/>
    <s v="Electronics"/>
    <n v="20882.27"/>
    <n v="1491.62"/>
    <n v="2"/>
    <n v="19390.650000000001"/>
    <s v="August"/>
    <n v="0.92857002615137152"/>
    <m/>
    <m/>
  </r>
  <r>
    <s v="ORD00254"/>
    <s v="2025-12-04"/>
    <x v="3"/>
    <x v="2"/>
    <s v="Accessories"/>
    <n v="28608.71"/>
    <n v="6520.03"/>
    <n v="11"/>
    <n v="22088.68"/>
    <s v="December"/>
    <n v="0.7720963301036643"/>
    <m/>
    <m/>
  </r>
  <r>
    <s v="ORD00255"/>
    <s v="2025-05-26"/>
    <x v="2"/>
    <x v="0"/>
    <s v="Accessories"/>
    <n v="26276.959999999999"/>
    <n v="3013.39"/>
    <n v="17"/>
    <n v="23263.57"/>
    <s v="May"/>
    <n v="0.88532197027357806"/>
    <m/>
    <m/>
  </r>
  <r>
    <s v="ORD00256"/>
    <s v="2025-03-31"/>
    <x v="3"/>
    <x v="5"/>
    <s v="Electronics"/>
    <n v="10402.86"/>
    <n v="652.96"/>
    <n v="7"/>
    <n v="9749.9000000000015"/>
    <s v="March"/>
    <n v="0.93723264563783426"/>
    <m/>
    <m/>
  </r>
  <r>
    <s v="ORD00257"/>
    <s v="2025-08-14"/>
    <x v="1"/>
    <x v="5"/>
    <s v="Accessories"/>
    <n v="6274.34"/>
    <n v="1209.33"/>
    <n v="6"/>
    <n v="5065.01"/>
    <s v="August"/>
    <n v="0.80725781516462292"/>
    <m/>
    <m/>
  </r>
  <r>
    <s v="ORD00258"/>
    <s v="2025-04-21"/>
    <x v="1"/>
    <x v="5"/>
    <s v="Electronics"/>
    <n v="49654.91"/>
    <n v="7975.95"/>
    <n v="11"/>
    <n v="41678.960000000006"/>
    <s v="April"/>
    <n v="0.83937238029431538"/>
    <m/>
    <m/>
  </r>
  <r>
    <s v="ORD00259"/>
    <s v="2025-09-06"/>
    <x v="1"/>
    <x v="2"/>
    <s v="Accessories"/>
    <n v="22842.65"/>
    <n v="5459.51"/>
    <n v="9"/>
    <n v="17383.14"/>
    <s v="September"/>
    <n v="0.7609948933245485"/>
    <m/>
    <m/>
  </r>
  <r>
    <s v="ORD00260"/>
    <s v="2025-05-17"/>
    <x v="1"/>
    <x v="2"/>
    <s v="Accessories"/>
    <n v="10932.07"/>
    <n v="1129.77"/>
    <n v="16"/>
    <n v="9802.2999999999993"/>
    <s v="May"/>
    <n v="0.89665543671052228"/>
    <m/>
    <m/>
  </r>
  <r>
    <s v="ORD00261"/>
    <s v="2025-08-02"/>
    <x v="2"/>
    <x v="1"/>
    <s v="Office Supplies"/>
    <n v="34601.83"/>
    <n v="5058.71"/>
    <n v="15"/>
    <n v="29543.120000000003"/>
    <s v="August"/>
    <n v="0.85380224109534097"/>
    <m/>
    <m/>
  </r>
  <r>
    <s v="ORD00262"/>
    <s v="2025-04-07"/>
    <x v="0"/>
    <x v="2"/>
    <s v="Accessories"/>
    <n v="18881.41"/>
    <n v="5434.34"/>
    <n v="5"/>
    <n v="13447.07"/>
    <s v="April"/>
    <n v="0.7121856895221278"/>
    <m/>
    <m/>
  </r>
  <r>
    <s v="ORD00263"/>
    <s v="2025-01-06"/>
    <x v="0"/>
    <x v="1"/>
    <s v="Electronics"/>
    <n v="23478.97"/>
    <n v="2539.12"/>
    <n v="6"/>
    <n v="20939.850000000002"/>
    <s v="January"/>
    <n v="0.89185556265883903"/>
    <m/>
    <m/>
  </r>
  <r>
    <s v="ORD00264"/>
    <s v="2025-09-17"/>
    <x v="1"/>
    <x v="0"/>
    <s v="Accessories"/>
    <n v="16581.07"/>
    <n v="2305.38"/>
    <n v="1"/>
    <n v="14275.689999999999"/>
    <s v="September"/>
    <n v="0.86096313446599038"/>
    <m/>
    <m/>
  </r>
  <r>
    <s v="ORD00265"/>
    <s v="2025-10-21"/>
    <x v="1"/>
    <x v="4"/>
    <s v="Electronics"/>
    <n v="17608.240000000002"/>
    <n v="1855.43"/>
    <n v="1"/>
    <n v="15752.810000000001"/>
    <s v="October"/>
    <n v="0.89462717455009699"/>
    <m/>
    <m/>
  </r>
  <r>
    <s v="ORD00266"/>
    <s v="2025-12-21"/>
    <x v="0"/>
    <x v="0"/>
    <s v="Office Supplies"/>
    <n v="17533.97"/>
    <n v="2309.38"/>
    <n v="3"/>
    <n v="15224.59"/>
    <s v="December"/>
    <n v="0.86829109437280882"/>
    <m/>
    <m/>
  </r>
  <r>
    <s v="ORD00267"/>
    <s v="2025-10-15"/>
    <x v="3"/>
    <x v="3"/>
    <s v="Electronics"/>
    <n v="19665.41"/>
    <n v="1953.56"/>
    <n v="20"/>
    <n v="17711.849999999999"/>
    <s v="October"/>
    <n v="0.90066009302628314"/>
    <m/>
    <m/>
  </r>
  <r>
    <s v="ORD00268"/>
    <s v="2025-04-21"/>
    <x v="0"/>
    <x v="3"/>
    <s v="Office Supplies"/>
    <n v="32231.97"/>
    <n v="9569.75"/>
    <n v="8"/>
    <n v="22662.22"/>
    <s v="April"/>
    <n v="0.70309757672273832"/>
    <m/>
    <m/>
  </r>
  <r>
    <s v="ORD00269"/>
    <s v="2025-10-14"/>
    <x v="3"/>
    <x v="1"/>
    <s v="Office Supplies"/>
    <n v="17848.86"/>
    <n v="936.9"/>
    <n v="10"/>
    <n v="16911.96"/>
    <s v="October"/>
    <n v="0.94750925269176844"/>
    <m/>
    <m/>
  </r>
  <r>
    <s v="ORD00270"/>
    <s v="2025-11-11"/>
    <x v="2"/>
    <x v="0"/>
    <s v="Electronics"/>
    <n v="28474.87"/>
    <n v="3015.38"/>
    <n v="20"/>
    <n v="25459.489999999998"/>
    <s v="November"/>
    <n v="0.89410381856001442"/>
    <m/>
    <m/>
  </r>
  <r>
    <s v="ORD00271"/>
    <s v="2025-08-21"/>
    <x v="1"/>
    <x v="5"/>
    <s v="Electronics"/>
    <n v="21479.81"/>
    <n v="6000.05"/>
    <n v="9"/>
    <n v="15479.760000000002"/>
    <s v="August"/>
    <n v="0.72066559247963557"/>
    <m/>
    <m/>
  </r>
  <r>
    <s v="ORD00272"/>
    <s v="2025-04-04"/>
    <x v="2"/>
    <x v="0"/>
    <s v="Office Supplies"/>
    <n v="16950.32"/>
    <n v="2535.98"/>
    <n v="12"/>
    <n v="14414.34"/>
    <s v="April"/>
    <n v="0.85038748531001185"/>
    <m/>
    <m/>
  </r>
  <r>
    <s v="ORD00273"/>
    <s v="2025-05-27"/>
    <x v="3"/>
    <x v="1"/>
    <s v="Accessories"/>
    <n v="49411.65"/>
    <n v="8584.7999999999993"/>
    <n v="4"/>
    <n v="40826.850000000006"/>
    <s v="May"/>
    <n v="0.82625959667406379"/>
    <m/>
    <m/>
  </r>
  <r>
    <s v="ORD00274"/>
    <s v="2025-07-05"/>
    <x v="2"/>
    <x v="0"/>
    <s v="Accessories"/>
    <n v="16108.5"/>
    <n v="2029.24"/>
    <n v="9"/>
    <n v="14079.26"/>
    <s v="July"/>
    <n v="0.87402675606046498"/>
    <m/>
    <m/>
  </r>
  <r>
    <s v="ORD00275"/>
    <s v="2025-10-06"/>
    <x v="1"/>
    <x v="2"/>
    <s v="Office Supplies"/>
    <n v="15063.21"/>
    <n v="2034.85"/>
    <n v="13"/>
    <n v="13028.359999999999"/>
    <s v="October"/>
    <n v="0.86491259167202739"/>
    <m/>
    <m/>
  </r>
  <r>
    <s v="ORD00276"/>
    <s v="2025-12-01"/>
    <x v="1"/>
    <x v="2"/>
    <s v="Accessories"/>
    <n v="28365.86"/>
    <n v="3475.39"/>
    <n v="10"/>
    <n v="24890.47"/>
    <s v="December"/>
    <n v="0.87747982962617743"/>
    <m/>
    <m/>
  </r>
  <r>
    <s v="ORD00277"/>
    <s v="2025-07-04"/>
    <x v="2"/>
    <x v="5"/>
    <s v="Office Supplies"/>
    <n v="29568.799999999999"/>
    <n v="4862.53"/>
    <n v="4"/>
    <n v="24706.27"/>
    <s v="July"/>
    <n v="0.83555200075755531"/>
    <m/>
    <m/>
  </r>
  <r>
    <s v="ORD00278"/>
    <s v="2025-09-16"/>
    <x v="2"/>
    <x v="4"/>
    <s v="Office Supplies"/>
    <n v="45280.84"/>
    <n v="9028.5400000000009"/>
    <n v="8"/>
    <n v="36252.299999999996"/>
    <s v="September"/>
    <n v="0.80061014769160643"/>
    <m/>
    <m/>
  </r>
  <r>
    <s v="ORD00279"/>
    <s v="2025-01-09"/>
    <x v="0"/>
    <x v="4"/>
    <s v="Electronics"/>
    <n v="21498.22"/>
    <n v="2064.34"/>
    <n v="14"/>
    <n v="19433.88"/>
    <s v="January"/>
    <n v="0.90397623617211098"/>
    <m/>
    <m/>
  </r>
  <r>
    <s v="ORD00280"/>
    <s v="2025-11-14"/>
    <x v="2"/>
    <x v="0"/>
    <s v="Office Supplies"/>
    <n v="4836.17"/>
    <n v="1211.4100000000001"/>
    <n v="10"/>
    <n v="3624.76"/>
    <s v="November"/>
    <n v="0.74951045972329344"/>
    <m/>
    <m/>
  </r>
  <r>
    <s v="ORD00281"/>
    <s v="2025-04-15"/>
    <x v="1"/>
    <x v="2"/>
    <s v="Office Supplies"/>
    <n v="916.78"/>
    <n v="54.76"/>
    <n v="1"/>
    <n v="862.02"/>
    <s v="April"/>
    <n v="0.94026920308034645"/>
    <m/>
    <m/>
  </r>
  <r>
    <s v="ORD00282"/>
    <s v="2025-12-11"/>
    <x v="0"/>
    <x v="4"/>
    <s v="Office Supplies"/>
    <n v="14122.14"/>
    <n v="2822.89"/>
    <n v="10"/>
    <n v="11299.25"/>
    <s v="December"/>
    <n v="0.80010890700701176"/>
    <m/>
    <m/>
  </r>
  <r>
    <s v="ORD00283"/>
    <s v="2025-05-23"/>
    <x v="0"/>
    <x v="0"/>
    <s v="Electronics"/>
    <n v="39176.019999999997"/>
    <n v="9679.4699999999993"/>
    <n v="17"/>
    <n v="29496.549999999996"/>
    <s v="May"/>
    <n v="0.7529235996918523"/>
    <m/>
    <m/>
  </r>
  <r>
    <s v="ORD00284"/>
    <s v="2025-07-31"/>
    <x v="0"/>
    <x v="1"/>
    <s v="Office Supplies"/>
    <n v="8602.0400000000009"/>
    <n v="759.43"/>
    <n v="5"/>
    <n v="7842.6100000000006"/>
    <s v="July"/>
    <n v="0.91171512803939525"/>
    <m/>
    <m/>
  </r>
  <r>
    <s v="ORD00285"/>
    <s v="2025-11-09"/>
    <x v="3"/>
    <x v="2"/>
    <s v="Accessories"/>
    <n v="2968.44"/>
    <n v="289.63"/>
    <n v="12"/>
    <n v="2678.81"/>
    <s v="November"/>
    <n v="0.90243023271482659"/>
    <m/>
    <m/>
  </r>
  <r>
    <s v="ORD00286"/>
    <s v="2025-05-23"/>
    <x v="3"/>
    <x v="0"/>
    <s v="Accessories"/>
    <n v="24986.93"/>
    <n v="4542.16"/>
    <n v="16"/>
    <n v="20444.77"/>
    <s v="May"/>
    <n v="0.81821856466560716"/>
    <m/>
    <m/>
  </r>
  <r>
    <s v="ORD00287"/>
    <s v="2025-03-06"/>
    <x v="2"/>
    <x v="5"/>
    <s v="Office Supplies"/>
    <n v="17091.099999999999"/>
    <n v="3829.15"/>
    <n v="6"/>
    <n v="13261.949999999999"/>
    <s v="March"/>
    <n v="0.77595649197535554"/>
    <m/>
    <m/>
  </r>
  <r>
    <s v="ORD00288"/>
    <s v="2025-11-25"/>
    <x v="1"/>
    <x v="0"/>
    <s v="Accessories"/>
    <n v="31387.77"/>
    <n v="2085.02"/>
    <n v="17"/>
    <n v="29302.75"/>
    <s v="November"/>
    <n v="0.93357221618483888"/>
    <m/>
    <m/>
  </r>
  <r>
    <s v="ORD00289"/>
    <s v="2025-08-28"/>
    <x v="1"/>
    <x v="1"/>
    <s v="Office Supplies"/>
    <n v="9624.5300000000007"/>
    <n v="2841.97"/>
    <n v="16"/>
    <n v="6782.5600000000013"/>
    <s v="August"/>
    <n v="0.70471597054609425"/>
    <m/>
    <m/>
  </r>
  <r>
    <s v="ORD00290"/>
    <s v="2025-10-06"/>
    <x v="1"/>
    <x v="0"/>
    <s v="Office Supplies"/>
    <n v="40396.54"/>
    <n v="10553.15"/>
    <n v="5"/>
    <n v="29843.39"/>
    <s v="October"/>
    <n v="0.73876104240610707"/>
    <m/>
    <m/>
  </r>
  <r>
    <s v="ORD00291"/>
    <s v="2025-08-05"/>
    <x v="2"/>
    <x v="0"/>
    <s v="Office Supplies"/>
    <n v="26201.14"/>
    <n v="5316.24"/>
    <n v="14"/>
    <n v="20884.900000000001"/>
    <s v="August"/>
    <n v="0.79709890485681167"/>
    <m/>
    <m/>
  </r>
  <r>
    <s v="ORD00292"/>
    <s v="2025-01-26"/>
    <x v="2"/>
    <x v="5"/>
    <s v="Office Supplies"/>
    <n v="31366.65"/>
    <n v="7458.9"/>
    <n v="14"/>
    <n v="23907.75"/>
    <s v="January"/>
    <n v="0.76220284920448944"/>
    <m/>
    <m/>
  </r>
  <r>
    <s v="ORD00293"/>
    <s v="2025-10-29"/>
    <x v="3"/>
    <x v="1"/>
    <s v="Office Supplies"/>
    <n v="14415.05"/>
    <n v="2404.9499999999998"/>
    <n v="20"/>
    <n v="12010.099999999999"/>
    <s v="October"/>
    <n v="0.83316395017707179"/>
    <m/>
    <m/>
  </r>
  <r>
    <s v="ORD00294"/>
    <s v="2025-12-06"/>
    <x v="1"/>
    <x v="1"/>
    <s v="Office Supplies"/>
    <n v="17434.14"/>
    <n v="2955.28"/>
    <n v="11"/>
    <n v="14478.859999999999"/>
    <s v="December"/>
    <n v="0.83048891427968341"/>
    <m/>
    <m/>
  </r>
  <r>
    <s v="ORD00295"/>
    <s v="2025-02-08"/>
    <x v="0"/>
    <x v="1"/>
    <s v="Office Supplies"/>
    <n v="35419.71"/>
    <n v="4429.84"/>
    <n v="2"/>
    <n v="30989.87"/>
    <s v="February"/>
    <n v="0.87493291164721565"/>
    <m/>
    <m/>
  </r>
  <r>
    <s v="ORD00296"/>
    <s v="2025-01-02"/>
    <x v="0"/>
    <x v="5"/>
    <s v="Accessories"/>
    <n v="35922.699999999997"/>
    <n v="9324.59"/>
    <n v="16"/>
    <n v="26598.109999999997"/>
    <s v="January"/>
    <n v="0.7404262485837646"/>
    <m/>
    <m/>
  </r>
  <r>
    <s v="ORD00297"/>
    <s v="2025-10-16"/>
    <x v="2"/>
    <x v="4"/>
    <s v="Electronics"/>
    <n v="44502.31"/>
    <n v="11505.28"/>
    <n v="2"/>
    <n v="32997.03"/>
    <s v="October"/>
    <n v="0.7414678024578949"/>
    <m/>
    <m/>
  </r>
  <r>
    <s v="ORD00298"/>
    <s v="2025-08-29"/>
    <x v="1"/>
    <x v="3"/>
    <s v="Electronics"/>
    <n v="8157.4"/>
    <n v="2387.75"/>
    <n v="20"/>
    <n v="5769.65"/>
    <s v="August"/>
    <n v="0.70729031308995516"/>
    <m/>
    <m/>
  </r>
  <r>
    <s v="ORD00299"/>
    <s v="2025-06-16"/>
    <x v="1"/>
    <x v="1"/>
    <s v="Electronics"/>
    <n v="3249.71"/>
    <n v="930.39"/>
    <n v="14"/>
    <n v="2319.3200000000002"/>
    <s v="June"/>
    <n v="0.71370060713109784"/>
    <m/>
    <m/>
  </r>
  <r>
    <s v="ORD00300"/>
    <s v="2025-01-31"/>
    <x v="0"/>
    <x v="3"/>
    <s v="Accessories"/>
    <n v="22100.49"/>
    <n v="4802.37"/>
    <n v="18"/>
    <n v="17298.120000000003"/>
    <s v="January"/>
    <n v="0.78270300794235792"/>
    <m/>
    <m/>
  </r>
  <r>
    <s v="ORD00301"/>
    <s v="2025-05-10"/>
    <x v="2"/>
    <x v="0"/>
    <s v="Electronics"/>
    <n v="13781.09"/>
    <n v="1876.48"/>
    <n v="17"/>
    <n v="11904.61"/>
    <s v="May"/>
    <n v="0.86383660508711579"/>
    <m/>
    <m/>
  </r>
  <r>
    <s v="ORD00302"/>
    <s v="2025-03-04"/>
    <x v="3"/>
    <x v="2"/>
    <s v="Accessories"/>
    <n v="26619.52"/>
    <n v="1351.96"/>
    <n v="1"/>
    <n v="25267.56"/>
    <s v="March"/>
    <n v="0.94921170629673268"/>
    <m/>
    <m/>
  </r>
  <r>
    <s v="ORD00303"/>
    <s v="2025-08-17"/>
    <x v="2"/>
    <x v="5"/>
    <s v="Office Supplies"/>
    <n v="19248.16"/>
    <n v="2010.77"/>
    <n v="2"/>
    <n v="17237.39"/>
    <s v="August"/>
    <n v="0.89553443030398749"/>
    <m/>
    <m/>
  </r>
  <r>
    <s v="ORD00304"/>
    <s v="2025-01-28"/>
    <x v="2"/>
    <x v="1"/>
    <s v="Accessories"/>
    <n v="42335.839999999997"/>
    <n v="7579.2"/>
    <n v="19"/>
    <n v="34756.639999999999"/>
    <s v="January"/>
    <n v="0.82097438009969814"/>
    <m/>
    <m/>
  </r>
  <r>
    <s v="ORD00305"/>
    <s v="2025-03-22"/>
    <x v="0"/>
    <x v="5"/>
    <s v="Office Supplies"/>
    <n v="21811.86"/>
    <n v="2316.3000000000002"/>
    <n v="1"/>
    <n v="19495.560000000001"/>
    <s v="March"/>
    <n v="0.89380548013786998"/>
    <m/>
    <m/>
  </r>
  <r>
    <s v="ORD00306"/>
    <s v="2025-03-26"/>
    <x v="2"/>
    <x v="1"/>
    <s v="Electronics"/>
    <n v="38541.75"/>
    <n v="4267.74"/>
    <n v="12"/>
    <n v="34274.01"/>
    <s v="March"/>
    <n v="0.88926968806553941"/>
    <m/>
    <m/>
  </r>
  <r>
    <s v="ORD00307"/>
    <s v="2025-01-30"/>
    <x v="2"/>
    <x v="3"/>
    <s v="Electronics"/>
    <n v="23763.66"/>
    <n v="5028.83"/>
    <n v="2"/>
    <n v="18734.830000000002"/>
    <s v="January"/>
    <n v="0.78838150352260561"/>
    <m/>
    <m/>
  </r>
  <r>
    <s v="ORD00308"/>
    <s v="2025-01-11"/>
    <x v="0"/>
    <x v="1"/>
    <s v="Electronics"/>
    <n v="34077.870000000003"/>
    <n v="4916.09"/>
    <n v="3"/>
    <n v="29161.780000000002"/>
    <s v="January"/>
    <n v="0.85573951658363623"/>
    <m/>
    <m/>
  </r>
  <r>
    <s v="ORD00309"/>
    <s v="2025-09-29"/>
    <x v="1"/>
    <x v="5"/>
    <s v="Electronics"/>
    <n v="6145.37"/>
    <n v="1286.8699999999999"/>
    <n v="5"/>
    <n v="4858.5"/>
    <s v="September"/>
    <n v="0.79059519605817064"/>
    <m/>
    <m/>
  </r>
  <r>
    <s v="ORD00310"/>
    <s v="2025-09-13"/>
    <x v="0"/>
    <x v="2"/>
    <s v="Electronics"/>
    <n v="24325.27"/>
    <n v="4030.14"/>
    <n v="6"/>
    <n v="20295.13"/>
    <s v="September"/>
    <n v="0.83432290782383922"/>
    <m/>
    <m/>
  </r>
  <r>
    <s v="ORD00311"/>
    <s v="2025-01-24"/>
    <x v="3"/>
    <x v="1"/>
    <s v="Electronics"/>
    <n v="41029.949999999997"/>
    <n v="4620.17"/>
    <n v="19"/>
    <n v="36409.78"/>
    <s v="January"/>
    <n v="0.88739518327465672"/>
    <m/>
    <m/>
  </r>
  <r>
    <s v="ORD00312"/>
    <s v="2025-09-05"/>
    <x v="0"/>
    <x v="0"/>
    <s v="Accessories"/>
    <n v="35891.61"/>
    <n v="7154.71"/>
    <n v="11"/>
    <n v="28736.9"/>
    <s v="September"/>
    <n v="0.80065786962468388"/>
    <m/>
    <m/>
  </r>
  <r>
    <s v="ORD00313"/>
    <s v="2025-11-08"/>
    <x v="2"/>
    <x v="4"/>
    <s v="Electronics"/>
    <n v="42599.92"/>
    <n v="11863.17"/>
    <n v="4"/>
    <n v="30736.75"/>
    <s v="November"/>
    <n v="0.72152130802123571"/>
    <m/>
    <m/>
  </r>
  <r>
    <s v="ORD00314"/>
    <s v="2025-03-09"/>
    <x v="2"/>
    <x v="0"/>
    <s v="Office Supplies"/>
    <n v="4871.21"/>
    <n v="387.86"/>
    <n v="7"/>
    <n v="4483.3500000000004"/>
    <s v="March"/>
    <n v="0.92037707263698354"/>
    <m/>
    <m/>
  </r>
  <r>
    <s v="ORD00315"/>
    <s v="2025-09-23"/>
    <x v="3"/>
    <x v="1"/>
    <s v="Electronics"/>
    <n v="37015.4"/>
    <n v="2876.74"/>
    <n v="3"/>
    <n v="34138.660000000003"/>
    <s v="September"/>
    <n v="0.92228261750514662"/>
    <m/>
    <m/>
  </r>
  <r>
    <s v="ORD00316"/>
    <s v="2025-11-16"/>
    <x v="3"/>
    <x v="3"/>
    <s v="Office Supplies"/>
    <n v="22630.67"/>
    <n v="6757.92"/>
    <n v="8"/>
    <n v="15872.749999999998"/>
    <s v="November"/>
    <n v="0.70138223923551535"/>
    <m/>
    <m/>
  </r>
  <r>
    <s v="ORD00317"/>
    <s v="2025-03-09"/>
    <x v="3"/>
    <x v="3"/>
    <s v="Accessories"/>
    <n v="4733.58"/>
    <n v="666.57"/>
    <n v="15"/>
    <n v="4067.0099999999998"/>
    <s v="March"/>
    <n v="0.85918269047951024"/>
    <m/>
    <m/>
  </r>
  <r>
    <s v="ORD00318"/>
    <s v="2025-07-03"/>
    <x v="0"/>
    <x v="2"/>
    <s v="Office Supplies"/>
    <n v="1984.74"/>
    <n v="307.22000000000003"/>
    <n v="11"/>
    <n v="1677.52"/>
    <s v="July"/>
    <n v="0.84520894424458615"/>
    <m/>
    <m/>
  </r>
  <r>
    <s v="ORD00319"/>
    <s v="2025-05-20"/>
    <x v="0"/>
    <x v="0"/>
    <s v="Electronics"/>
    <n v="14956.17"/>
    <n v="3805.86"/>
    <n v="9"/>
    <n v="11150.31"/>
    <s v="May"/>
    <n v="0.74553244580664702"/>
    <m/>
    <m/>
  </r>
  <r>
    <s v="ORD00320"/>
    <s v="2025-04-20"/>
    <x v="0"/>
    <x v="5"/>
    <s v="Accessories"/>
    <n v="11164.69"/>
    <n v="2978.09"/>
    <n v="15"/>
    <n v="8186.6"/>
    <s v="April"/>
    <n v="0.73325815584669163"/>
    <m/>
    <m/>
  </r>
  <r>
    <s v="ORD00321"/>
    <s v="2025-09-21"/>
    <x v="1"/>
    <x v="0"/>
    <s v="Electronics"/>
    <n v="44344.86"/>
    <n v="10424.31"/>
    <n v="1"/>
    <n v="33920.550000000003"/>
    <s v="September"/>
    <n v="0.76492630713007104"/>
    <m/>
    <m/>
  </r>
  <r>
    <s v="ORD00322"/>
    <s v="2025-04-28"/>
    <x v="0"/>
    <x v="4"/>
    <s v="Office Supplies"/>
    <n v="8943.92"/>
    <n v="1661.93"/>
    <n v="5"/>
    <n v="7281.99"/>
    <s v="April"/>
    <n v="0.81418326639773164"/>
    <m/>
    <m/>
  </r>
  <r>
    <s v="ORD00323"/>
    <s v="2025-02-05"/>
    <x v="3"/>
    <x v="3"/>
    <s v="Accessories"/>
    <n v="12435.23"/>
    <n v="3443.16"/>
    <n v="6"/>
    <n v="8992.07"/>
    <s v="February"/>
    <n v="0.72311247962442193"/>
    <m/>
    <m/>
  </r>
  <r>
    <s v="ORD00324"/>
    <s v="2025-01-05"/>
    <x v="3"/>
    <x v="2"/>
    <s v="Electronics"/>
    <n v="30825.8"/>
    <n v="6486.45"/>
    <n v="20"/>
    <n v="24339.35"/>
    <s v="January"/>
    <n v="0.78957723724931705"/>
    <m/>
    <m/>
  </r>
  <r>
    <s v="ORD00325"/>
    <s v="2025-06-21"/>
    <x v="3"/>
    <x v="0"/>
    <s v="Electronics"/>
    <n v="21350.6"/>
    <n v="6293.56"/>
    <n v="18"/>
    <n v="15057.039999999997"/>
    <s v="June"/>
    <n v="0.70522795612301281"/>
    <m/>
    <m/>
  </r>
  <r>
    <s v="ORD00326"/>
    <s v="2025-04-29"/>
    <x v="1"/>
    <x v="2"/>
    <s v="Electronics"/>
    <n v="19806.18"/>
    <n v="4278.93"/>
    <n v="5"/>
    <n v="15527.25"/>
    <s v="April"/>
    <n v="0.78395985495436271"/>
    <m/>
    <m/>
  </r>
  <r>
    <s v="ORD00327"/>
    <s v="2025-08-20"/>
    <x v="3"/>
    <x v="4"/>
    <s v="Office Supplies"/>
    <n v="13391.51"/>
    <n v="2931.56"/>
    <n v="10"/>
    <n v="10459.950000000001"/>
    <s v="August"/>
    <n v="0.78108816705509687"/>
    <m/>
    <m/>
  </r>
  <r>
    <s v="ORD00328"/>
    <s v="2025-05-19"/>
    <x v="1"/>
    <x v="3"/>
    <s v="Office Supplies"/>
    <n v="7484.56"/>
    <n v="391.89"/>
    <n v="16"/>
    <n v="7092.67"/>
    <s v="May"/>
    <n v="0.94764020864285936"/>
    <m/>
    <m/>
  </r>
  <r>
    <s v="ORD00329"/>
    <s v="2025-12-29"/>
    <x v="0"/>
    <x v="2"/>
    <s v="Accessories"/>
    <n v="49048.24"/>
    <n v="3704.65"/>
    <n v="20"/>
    <n v="45343.59"/>
    <s v="December"/>
    <n v="0.92446925720474371"/>
    <m/>
    <m/>
  </r>
  <r>
    <s v="ORD00330"/>
    <s v="2025-03-24"/>
    <x v="0"/>
    <x v="2"/>
    <s v="Electronics"/>
    <n v="48923.43"/>
    <n v="10713.58"/>
    <n v="5"/>
    <n v="38209.85"/>
    <s v="March"/>
    <n v="0.78101330998255847"/>
    <m/>
    <m/>
  </r>
  <r>
    <s v="ORD00331"/>
    <s v="2025-08-17"/>
    <x v="0"/>
    <x v="0"/>
    <s v="Electronics"/>
    <n v="5628.72"/>
    <n v="974.17"/>
    <n v="18"/>
    <n v="4654.55"/>
    <s v="August"/>
    <n v="0.82692868005514575"/>
    <m/>
    <m/>
  </r>
  <r>
    <s v="ORD00332"/>
    <s v="2025-07-17"/>
    <x v="0"/>
    <x v="4"/>
    <s v="Electronics"/>
    <n v="38163.82"/>
    <n v="3117.32"/>
    <n v="15"/>
    <n v="35046.5"/>
    <s v="July"/>
    <n v="0.91831740114066152"/>
    <m/>
    <m/>
  </r>
  <r>
    <s v="ORD00333"/>
    <s v="2025-03-07"/>
    <x v="3"/>
    <x v="5"/>
    <s v="Electronics"/>
    <n v="27799.3"/>
    <n v="5798.51"/>
    <n v="4"/>
    <n v="22000.79"/>
    <s v="March"/>
    <n v="0.79141525146316638"/>
    <m/>
    <m/>
  </r>
  <r>
    <s v="ORD00334"/>
    <s v="2025-01-08"/>
    <x v="1"/>
    <x v="0"/>
    <s v="Electronics"/>
    <n v="19985.240000000002"/>
    <n v="3791.04"/>
    <n v="16"/>
    <n v="16194.2"/>
    <s v="January"/>
    <n v="0.81030800730939434"/>
    <m/>
    <m/>
  </r>
  <r>
    <s v="ORD00335"/>
    <s v="2025-06-27"/>
    <x v="1"/>
    <x v="2"/>
    <s v="Accessories"/>
    <n v="40078.21"/>
    <n v="5357.89"/>
    <n v="4"/>
    <n v="34720.32"/>
    <s v="June"/>
    <n v="0.86631413927917444"/>
    <m/>
    <m/>
  </r>
  <r>
    <s v="ORD00336"/>
    <s v="2025-03-17"/>
    <x v="0"/>
    <x v="2"/>
    <s v="Office Supplies"/>
    <n v="11026.52"/>
    <n v="2941.29"/>
    <n v="20"/>
    <n v="8085.2300000000005"/>
    <s v="March"/>
    <n v="0.73325310252010611"/>
    <m/>
    <m/>
  </r>
  <r>
    <s v="ORD00337"/>
    <s v="2025-06-28"/>
    <x v="0"/>
    <x v="3"/>
    <s v="Office Supplies"/>
    <n v="16235.67"/>
    <n v="2737.21"/>
    <n v="3"/>
    <n v="13498.46"/>
    <s v="June"/>
    <n v="0.831407635163809"/>
    <m/>
    <m/>
  </r>
  <r>
    <s v="ORD00338"/>
    <s v="2025-10-02"/>
    <x v="1"/>
    <x v="3"/>
    <s v="Office Supplies"/>
    <n v="15555.08"/>
    <n v="3413.99"/>
    <n v="9"/>
    <n v="12141.09"/>
    <s v="October"/>
    <n v="0.78052250454513894"/>
    <m/>
    <m/>
  </r>
  <r>
    <s v="ORD00339"/>
    <s v="2025-06-20"/>
    <x v="2"/>
    <x v="3"/>
    <s v="Office Supplies"/>
    <n v="12054.96"/>
    <n v="1607.54"/>
    <n v="12"/>
    <n v="10447.419999999998"/>
    <s v="June"/>
    <n v="0.86664908054443968"/>
    <m/>
    <m/>
  </r>
  <r>
    <s v="ORD00340"/>
    <s v="2025-12-14"/>
    <x v="3"/>
    <x v="2"/>
    <s v="Office Supplies"/>
    <n v="12047.47"/>
    <n v="1321.83"/>
    <n v="13"/>
    <n v="10725.64"/>
    <s v="December"/>
    <n v="0.89028152798886406"/>
    <m/>
    <m/>
  </r>
  <r>
    <s v="ORD00341"/>
    <s v="2025-10-04"/>
    <x v="2"/>
    <x v="5"/>
    <s v="Office Supplies"/>
    <n v="20202.55"/>
    <n v="1236.27"/>
    <n v="1"/>
    <n v="18966.28"/>
    <s v="October"/>
    <n v="0.93880623980636102"/>
    <m/>
    <m/>
  </r>
  <r>
    <s v="ORD00342"/>
    <s v="2025-10-17"/>
    <x v="2"/>
    <x v="2"/>
    <s v="Electronics"/>
    <n v="46862.64"/>
    <n v="7982.96"/>
    <n v="2"/>
    <n v="38879.68"/>
    <s v="October"/>
    <n v="0.82965193595580622"/>
    <m/>
    <m/>
  </r>
  <r>
    <s v="ORD00343"/>
    <s v="2025-07-03"/>
    <x v="3"/>
    <x v="5"/>
    <s v="Electronics"/>
    <n v="41015.480000000003"/>
    <n v="4768.71"/>
    <n v="15"/>
    <n v="36246.770000000004"/>
    <s v="July"/>
    <n v="0.88373389754307397"/>
    <m/>
    <m/>
  </r>
  <r>
    <s v="ORD00344"/>
    <s v="2025-07-27"/>
    <x v="3"/>
    <x v="0"/>
    <s v="Electronics"/>
    <n v="27815.89"/>
    <n v="5280.81"/>
    <n v="14"/>
    <n v="22535.079999999998"/>
    <s v="July"/>
    <n v="0.81015131998293055"/>
    <m/>
    <m/>
  </r>
  <r>
    <s v="ORD00345"/>
    <s v="2025-04-28"/>
    <x v="2"/>
    <x v="4"/>
    <s v="Electronics"/>
    <n v="29139.29"/>
    <n v="4677.01"/>
    <n v="4"/>
    <n v="24462.28"/>
    <s v="April"/>
    <n v="0.83949471658369157"/>
    <m/>
    <m/>
  </r>
  <r>
    <s v="ORD00346"/>
    <s v="2025-06-26"/>
    <x v="2"/>
    <x v="2"/>
    <s v="Electronics"/>
    <n v="34755.01"/>
    <n v="9179.1"/>
    <n v="7"/>
    <n v="25575.910000000003"/>
    <s v="June"/>
    <n v="0.73589131466226021"/>
    <m/>
    <m/>
  </r>
  <r>
    <s v="ORD00347"/>
    <s v="2025-11-30"/>
    <x v="0"/>
    <x v="4"/>
    <s v="Accessories"/>
    <n v="33539.51"/>
    <n v="3794.39"/>
    <n v="10"/>
    <n v="29745.120000000003"/>
    <s v="November"/>
    <n v="0.88686805501928923"/>
    <m/>
    <m/>
  </r>
  <r>
    <s v="ORD00348"/>
    <s v="2025-10-05"/>
    <x v="0"/>
    <x v="5"/>
    <s v="Electronics"/>
    <n v="9956.89"/>
    <n v="2550.6999999999998"/>
    <n v="14"/>
    <n v="7406.19"/>
    <s v="October"/>
    <n v="0.74382563230084897"/>
    <m/>
    <m/>
  </r>
  <r>
    <s v="ORD00349"/>
    <s v="2025-06-27"/>
    <x v="2"/>
    <x v="2"/>
    <s v="Office Supplies"/>
    <n v="28277.439999999999"/>
    <n v="6526.93"/>
    <n v="4"/>
    <n v="21750.51"/>
    <s v="June"/>
    <n v="0.76918242952685956"/>
    <m/>
    <m/>
  </r>
  <r>
    <s v="ORD00350"/>
    <s v="2025-04-17"/>
    <x v="1"/>
    <x v="0"/>
    <s v="Electronics"/>
    <n v="18733.419999999998"/>
    <n v="2397.13"/>
    <n v="7"/>
    <n v="16336.289999999997"/>
    <s v="April"/>
    <n v="0.87203991582957086"/>
    <m/>
    <m/>
  </r>
  <r>
    <s v="ORD00351"/>
    <s v="2025-02-24"/>
    <x v="1"/>
    <x v="5"/>
    <s v="Electronics"/>
    <n v="10645.85"/>
    <n v="1046.3900000000001"/>
    <n v="13"/>
    <n v="9599.4600000000009"/>
    <s v="February"/>
    <n v="0.90170911669805609"/>
    <m/>
    <m/>
  </r>
  <r>
    <s v="ORD00352"/>
    <s v="2025-03-26"/>
    <x v="3"/>
    <x v="2"/>
    <s v="Electronics"/>
    <n v="19637.5"/>
    <n v="1155.25"/>
    <n v="13"/>
    <n v="18482.25"/>
    <s v="March"/>
    <n v="0.94117122851686819"/>
    <m/>
    <m/>
  </r>
  <r>
    <s v="ORD00353"/>
    <s v="2025-03-20"/>
    <x v="3"/>
    <x v="1"/>
    <s v="Accessories"/>
    <n v="25999.69"/>
    <n v="7674.58"/>
    <n v="17"/>
    <n v="18325.11"/>
    <s v="March"/>
    <n v="0.70482032670389538"/>
    <m/>
    <m/>
  </r>
  <r>
    <s v="ORD00354"/>
    <s v="2025-05-03"/>
    <x v="1"/>
    <x v="0"/>
    <s v="Accessories"/>
    <n v="47138.92"/>
    <n v="4283.04"/>
    <n v="5"/>
    <n v="42855.88"/>
    <s v="May"/>
    <n v="0.90914004818099348"/>
    <m/>
    <m/>
  </r>
  <r>
    <s v="ORD00355"/>
    <s v="2025-06-29"/>
    <x v="2"/>
    <x v="2"/>
    <s v="Office Supplies"/>
    <n v="33064.29"/>
    <n v="3319.75"/>
    <n v="17"/>
    <n v="29744.54"/>
    <s v="June"/>
    <n v="0.89959711822029143"/>
    <m/>
    <m/>
  </r>
  <r>
    <s v="ORD00356"/>
    <s v="2025-10-20"/>
    <x v="3"/>
    <x v="1"/>
    <s v="Office Supplies"/>
    <n v="5294.97"/>
    <n v="852.17"/>
    <n v="20"/>
    <n v="4442.8"/>
    <s v="October"/>
    <n v="0.83906046682039748"/>
    <m/>
    <m/>
  </r>
  <r>
    <s v="ORD00357"/>
    <s v="2025-10-07"/>
    <x v="0"/>
    <x v="3"/>
    <s v="Office Supplies"/>
    <n v="18419.82"/>
    <n v="1799.19"/>
    <n v="11"/>
    <n v="16620.63"/>
    <s v="October"/>
    <n v="0.90232314973761962"/>
    <m/>
    <m/>
  </r>
  <r>
    <s v="ORD00358"/>
    <s v="2025-06-23"/>
    <x v="3"/>
    <x v="4"/>
    <s v="Accessories"/>
    <n v="49940.45"/>
    <n v="3104.14"/>
    <n v="15"/>
    <n v="46836.31"/>
    <s v="June"/>
    <n v="0.9378431712169194"/>
    <m/>
    <m/>
  </r>
  <r>
    <s v="ORD00359"/>
    <s v="2025-03-13"/>
    <x v="1"/>
    <x v="1"/>
    <s v="Electronics"/>
    <n v="23830.17"/>
    <n v="3937"/>
    <n v="8"/>
    <n v="19893.169999999998"/>
    <s v="March"/>
    <n v="0.83478926084035487"/>
    <m/>
    <m/>
  </r>
  <r>
    <s v="ORD00360"/>
    <s v="2025-01-29"/>
    <x v="2"/>
    <x v="2"/>
    <s v="Electronics"/>
    <n v="1698.56"/>
    <n v="109.9"/>
    <n v="4"/>
    <n v="1588.6599999999999"/>
    <s v="January"/>
    <n v="0.93529813489073088"/>
    <m/>
    <m/>
  </r>
  <r>
    <s v="ORD00361"/>
    <s v="2025-03-11"/>
    <x v="3"/>
    <x v="3"/>
    <s v="Accessories"/>
    <n v="42920.9"/>
    <n v="3849.13"/>
    <n v="17"/>
    <n v="39071.770000000004"/>
    <s v="March"/>
    <n v="0.91032038004794869"/>
    <m/>
    <m/>
  </r>
  <r>
    <s v="ORD00362"/>
    <s v="2025-05-19"/>
    <x v="3"/>
    <x v="1"/>
    <s v="Office Supplies"/>
    <n v="37332.39"/>
    <n v="3345.42"/>
    <n v="12"/>
    <n v="33986.97"/>
    <s v="May"/>
    <n v="0.91038827141792966"/>
    <m/>
    <m/>
  </r>
  <r>
    <s v="ORD00363"/>
    <s v="2025-12-15"/>
    <x v="0"/>
    <x v="0"/>
    <s v="Accessories"/>
    <n v="2876.83"/>
    <n v="835.65"/>
    <n v="8"/>
    <n v="2041.1799999999998"/>
    <s v="December"/>
    <n v="0.70952402470775122"/>
    <m/>
    <m/>
  </r>
  <r>
    <s v="ORD00364"/>
    <s v="2025-04-05"/>
    <x v="1"/>
    <x v="5"/>
    <s v="Accessories"/>
    <n v="33352.480000000003"/>
    <n v="9896.94"/>
    <n v="9"/>
    <n v="23455.54"/>
    <s v="April"/>
    <n v="0.70326224616580235"/>
    <m/>
    <m/>
  </r>
  <r>
    <s v="ORD00365"/>
    <s v="2025-11-12"/>
    <x v="1"/>
    <x v="3"/>
    <s v="Accessories"/>
    <n v="36437.42"/>
    <n v="8912.52"/>
    <n v="5"/>
    <n v="27524.899999999998"/>
    <s v="November"/>
    <n v="0.75540200156871695"/>
    <m/>
    <m/>
  </r>
  <r>
    <s v="ORD00366"/>
    <s v="2025-01-05"/>
    <x v="1"/>
    <x v="4"/>
    <s v="Office Supplies"/>
    <n v="11992.71"/>
    <n v="2082.41"/>
    <n v="14"/>
    <n v="9910.2999999999993"/>
    <s v="January"/>
    <n v="0.8263603472442842"/>
    <m/>
    <m/>
  </r>
  <r>
    <s v="ORD00367"/>
    <s v="2025-01-03"/>
    <x v="2"/>
    <x v="1"/>
    <s v="Electronics"/>
    <n v="20919.099999999999"/>
    <n v="2958.55"/>
    <n v="4"/>
    <n v="17960.55"/>
    <s v="January"/>
    <n v="0.85857183148414606"/>
    <m/>
    <m/>
  </r>
  <r>
    <s v="ORD00368"/>
    <s v="2025-01-09"/>
    <x v="1"/>
    <x v="1"/>
    <s v="Accessories"/>
    <n v="32884.910000000003"/>
    <n v="5430.98"/>
    <n v="20"/>
    <n v="27453.930000000004"/>
    <s v="January"/>
    <n v="0.83484887141245034"/>
    <m/>
    <m/>
  </r>
  <r>
    <s v="ORD00369"/>
    <s v="2025-10-13"/>
    <x v="2"/>
    <x v="2"/>
    <s v="Electronics"/>
    <n v="15370.79"/>
    <n v="1506.66"/>
    <n v="6"/>
    <n v="13864.130000000001"/>
    <s v="October"/>
    <n v="0.9019790134404283"/>
    <m/>
    <m/>
  </r>
  <r>
    <s v="ORD00370"/>
    <s v="2025-01-18"/>
    <x v="2"/>
    <x v="0"/>
    <s v="Electronics"/>
    <n v="4711.55"/>
    <n v="951.61"/>
    <n v="18"/>
    <n v="3759.94"/>
    <s v="January"/>
    <n v="0.79802612728295352"/>
    <m/>
    <m/>
  </r>
  <r>
    <s v="ORD00371"/>
    <s v="2025-08-22"/>
    <x v="2"/>
    <x v="0"/>
    <s v="Office Supplies"/>
    <n v="34137.85"/>
    <n v="6882.47"/>
    <n v="16"/>
    <n v="27255.379999999997"/>
    <s v="August"/>
    <n v="0.79839181436440776"/>
    <m/>
    <m/>
  </r>
  <r>
    <s v="ORD00372"/>
    <s v="2025-03-16"/>
    <x v="1"/>
    <x v="0"/>
    <s v="Electronics"/>
    <n v="35407.78"/>
    <n v="3836.55"/>
    <n v="3"/>
    <n v="31571.23"/>
    <s v="March"/>
    <n v="0.89164669459649826"/>
    <m/>
    <m/>
  </r>
  <r>
    <s v="ORD00373"/>
    <s v="2025-09-28"/>
    <x v="2"/>
    <x v="5"/>
    <s v="Electronics"/>
    <n v="6969.07"/>
    <n v="1066.7"/>
    <n v="10"/>
    <n v="5902.37"/>
    <s v="September"/>
    <n v="0.84693797020262385"/>
    <m/>
    <m/>
  </r>
  <r>
    <s v="ORD00374"/>
    <s v="2025-02-06"/>
    <x v="3"/>
    <x v="0"/>
    <s v="Accessories"/>
    <n v="38914.29"/>
    <n v="6427.94"/>
    <n v="14"/>
    <n v="32486.350000000002"/>
    <s v="February"/>
    <n v="0.83481800644441928"/>
    <m/>
    <m/>
  </r>
  <r>
    <s v="ORD00375"/>
    <s v="2025-06-29"/>
    <x v="2"/>
    <x v="0"/>
    <s v="Electronics"/>
    <n v="36183.85"/>
    <n v="8260.2999999999993"/>
    <n v="10"/>
    <n v="27923.55"/>
    <s v="June"/>
    <n v="0.77171307088659724"/>
    <m/>
    <m/>
  </r>
  <r>
    <s v="ORD00376"/>
    <s v="2025-03-25"/>
    <x v="3"/>
    <x v="5"/>
    <s v="Electronics"/>
    <n v="15087.89"/>
    <n v="4276.2299999999996"/>
    <n v="12"/>
    <n v="10811.66"/>
    <s v="March"/>
    <n v="0.71657866010422933"/>
    <m/>
    <m/>
  </r>
  <r>
    <s v="ORD00377"/>
    <s v="2025-09-19"/>
    <x v="0"/>
    <x v="4"/>
    <s v="Office Supplies"/>
    <n v="26904.02"/>
    <n v="7389.62"/>
    <n v="5"/>
    <n v="19514.400000000001"/>
    <s v="September"/>
    <n v="0.72533398354595335"/>
    <m/>
    <m/>
  </r>
  <r>
    <s v="ORD00378"/>
    <s v="2025-02-14"/>
    <x v="1"/>
    <x v="2"/>
    <s v="Accessories"/>
    <n v="39824.78"/>
    <n v="8825.1"/>
    <n v="6"/>
    <n v="30999.68"/>
    <s v="February"/>
    <n v="0.77840178903687607"/>
    <m/>
    <m/>
  </r>
  <r>
    <s v="ORD00379"/>
    <s v="2025-02-06"/>
    <x v="0"/>
    <x v="4"/>
    <s v="Office Supplies"/>
    <n v="23500.35"/>
    <n v="2277.5500000000002"/>
    <n v="17"/>
    <n v="21222.799999999999"/>
    <s v="February"/>
    <n v="0.90308442214690421"/>
    <m/>
    <m/>
  </r>
  <r>
    <s v="ORD00380"/>
    <s v="2025-08-04"/>
    <x v="0"/>
    <x v="1"/>
    <s v="Accessories"/>
    <n v="25386.86"/>
    <n v="7050.56"/>
    <n v="20"/>
    <n v="18336.3"/>
    <s v="August"/>
    <n v="0.72227522426956303"/>
    <m/>
    <m/>
  </r>
  <r>
    <s v="ORD00381"/>
    <s v="2025-05-26"/>
    <x v="3"/>
    <x v="0"/>
    <s v="Electronics"/>
    <n v="29309.75"/>
    <n v="4237.34"/>
    <n v="16"/>
    <n v="25072.41"/>
    <s v="May"/>
    <n v="0.85542899547079043"/>
    <m/>
    <m/>
  </r>
  <r>
    <s v="ORD00382"/>
    <s v="2025-05-26"/>
    <x v="1"/>
    <x v="2"/>
    <s v="Office Supplies"/>
    <n v="15189.95"/>
    <n v="3963.26"/>
    <n v="7"/>
    <n v="11226.69"/>
    <s v="May"/>
    <n v="0.73908669877122701"/>
    <m/>
    <m/>
  </r>
  <r>
    <s v="ORD00383"/>
    <s v="2025-10-21"/>
    <x v="2"/>
    <x v="2"/>
    <s v="Accessories"/>
    <n v="20924.810000000001"/>
    <n v="1580.8"/>
    <n v="2"/>
    <n v="19344.010000000002"/>
    <s v="October"/>
    <n v="0.92445331642198902"/>
    <m/>
    <m/>
  </r>
  <r>
    <s v="ORD00384"/>
    <s v="2025-09-20"/>
    <x v="2"/>
    <x v="1"/>
    <s v="Electronics"/>
    <n v="42391.199999999997"/>
    <n v="5246.85"/>
    <n v="6"/>
    <n v="37144.35"/>
    <s v="September"/>
    <n v="0.87622784917624419"/>
    <m/>
    <m/>
  </r>
  <r>
    <s v="ORD00385"/>
    <s v="2025-10-10"/>
    <x v="1"/>
    <x v="1"/>
    <s v="Office Supplies"/>
    <n v="41140.46"/>
    <n v="6463.05"/>
    <n v="18"/>
    <n v="34677.409999999996"/>
    <s v="October"/>
    <n v="0.84290282607438027"/>
    <m/>
    <m/>
  </r>
  <r>
    <s v="ORD00386"/>
    <s v="2025-08-21"/>
    <x v="2"/>
    <x v="3"/>
    <s v="Accessories"/>
    <n v="22931.93"/>
    <n v="2282.5700000000002"/>
    <n v="3"/>
    <n v="20649.36"/>
    <s v="August"/>
    <n v="0.90046324055585381"/>
    <m/>
    <m/>
  </r>
  <r>
    <s v="ORD00387"/>
    <s v="2025-06-17"/>
    <x v="2"/>
    <x v="3"/>
    <s v="Office Supplies"/>
    <n v="42338.49"/>
    <n v="12311.82"/>
    <n v="3"/>
    <n v="30026.67"/>
    <s v="June"/>
    <n v="0.70920502833237553"/>
    <m/>
    <m/>
  </r>
  <r>
    <s v="ORD00388"/>
    <s v="2025-07-14"/>
    <x v="0"/>
    <x v="5"/>
    <s v="Accessories"/>
    <n v="24223.46"/>
    <n v="2560.58"/>
    <n v="3"/>
    <n v="21662.879999999997"/>
    <s v="July"/>
    <n v="0.89429338335646513"/>
    <m/>
    <m/>
  </r>
  <r>
    <s v="ORD00389"/>
    <s v="2025-04-29"/>
    <x v="3"/>
    <x v="0"/>
    <s v="Accessories"/>
    <n v="12694.08"/>
    <n v="3346.08"/>
    <n v="14"/>
    <n v="9348"/>
    <s v="April"/>
    <n v="0.73640626181653179"/>
    <m/>
    <m/>
  </r>
  <r>
    <s v="ORD00390"/>
    <s v="2025-03-15"/>
    <x v="1"/>
    <x v="5"/>
    <s v="Office Supplies"/>
    <n v="19773.7"/>
    <n v="2080.46"/>
    <n v="1"/>
    <n v="17693.240000000002"/>
    <s v="March"/>
    <n v="0.89478650935333304"/>
    <m/>
    <m/>
  </r>
  <r>
    <s v="ORD00391"/>
    <s v="2025-11-29"/>
    <x v="2"/>
    <x v="3"/>
    <s v="Office Supplies"/>
    <n v="21074.09"/>
    <n v="5363.27"/>
    <n v="10"/>
    <n v="15710.82"/>
    <s v="November"/>
    <n v="0.74550407633259608"/>
    <m/>
    <m/>
  </r>
  <r>
    <s v="ORD00392"/>
    <s v="2025-07-10"/>
    <x v="0"/>
    <x v="1"/>
    <s v="Office Supplies"/>
    <n v="45445.279999999999"/>
    <n v="2856.05"/>
    <n v="10"/>
    <n v="42589.229999999996"/>
    <s v="July"/>
    <n v="0.93715408948960155"/>
    <m/>
    <m/>
  </r>
  <r>
    <s v="ORD00393"/>
    <s v="2025-12-11"/>
    <x v="0"/>
    <x v="5"/>
    <s v="Electronics"/>
    <n v="29264.52"/>
    <n v="8773.6"/>
    <n v="19"/>
    <n v="20490.919999999998"/>
    <s v="December"/>
    <n v="0.70019668868650498"/>
    <m/>
    <m/>
  </r>
  <r>
    <s v="ORD00394"/>
    <s v="2025-11-09"/>
    <x v="2"/>
    <x v="2"/>
    <s v="Electronics"/>
    <n v="31927.5"/>
    <n v="9415.01"/>
    <n v="9"/>
    <n v="22512.489999999998"/>
    <s v="November"/>
    <n v="0.70511283376399647"/>
    <m/>
    <m/>
  </r>
  <r>
    <s v="ORD00395"/>
    <s v="2025-01-15"/>
    <x v="3"/>
    <x v="2"/>
    <s v="Electronics"/>
    <n v="16086.65"/>
    <n v="4363.49"/>
    <n v="1"/>
    <n v="11723.16"/>
    <s v="January"/>
    <n v="0.72875085863122524"/>
    <m/>
    <m/>
  </r>
  <r>
    <s v="ORD00396"/>
    <s v="2025-11-15"/>
    <x v="0"/>
    <x v="1"/>
    <s v="Accessories"/>
    <n v="8000.67"/>
    <n v="2162.44"/>
    <n v="11"/>
    <n v="5838.23"/>
    <s v="November"/>
    <n v="0.72971763614797258"/>
    <m/>
    <m/>
  </r>
  <r>
    <s v="ORD00397"/>
    <s v="2025-11-21"/>
    <x v="1"/>
    <x v="1"/>
    <s v="Office Supplies"/>
    <n v="15375.84"/>
    <n v="4342.8999999999996"/>
    <n v="17"/>
    <n v="11032.94"/>
    <s v="November"/>
    <n v="0.71755039074287974"/>
    <m/>
    <m/>
  </r>
  <r>
    <s v="ORD00398"/>
    <s v="2025-05-05"/>
    <x v="3"/>
    <x v="0"/>
    <s v="Office Supplies"/>
    <n v="47536.52"/>
    <n v="10281.719999999999"/>
    <n v="20"/>
    <n v="37254.799999999996"/>
    <s v="May"/>
    <n v="0.78370903044648621"/>
    <m/>
    <m/>
  </r>
  <r>
    <s v="ORD00399"/>
    <s v="2025-10-25"/>
    <x v="3"/>
    <x v="4"/>
    <s v="Accessories"/>
    <n v="20985.67"/>
    <n v="2862.36"/>
    <n v="9"/>
    <n v="18123.309999999998"/>
    <s v="October"/>
    <n v="0.86360406887175867"/>
    <m/>
    <m/>
  </r>
  <r>
    <s v="ORD00400"/>
    <s v="2025-10-11"/>
    <x v="1"/>
    <x v="3"/>
    <s v="Office Supplies"/>
    <n v="29367.02"/>
    <n v="8367.69"/>
    <n v="1"/>
    <n v="20999.33"/>
    <s v="October"/>
    <n v="0.71506506278131055"/>
    <m/>
    <m/>
  </r>
  <r>
    <s v="ORD00401"/>
    <s v="2025-04-22"/>
    <x v="3"/>
    <x v="0"/>
    <s v="Accessories"/>
    <n v="12411.95"/>
    <n v="1564.56"/>
    <n v="5"/>
    <n v="10847.390000000001"/>
    <s v="April"/>
    <n v="0.87394728467323834"/>
    <m/>
    <m/>
  </r>
  <r>
    <s v="ORD00402"/>
    <s v="2025-03-17"/>
    <x v="1"/>
    <x v="4"/>
    <s v="Office Supplies"/>
    <n v="13560.41"/>
    <n v="1475.16"/>
    <n v="16"/>
    <n v="12085.25"/>
    <s v="March"/>
    <n v="0.8912156785819898"/>
    <m/>
    <m/>
  </r>
  <r>
    <s v="ORD00403"/>
    <s v="2025-03-26"/>
    <x v="2"/>
    <x v="3"/>
    <s v="Office Supplies"/>
    <n v="8510.9500000000007"/>
    <n v="580.32000000000005"/>
    <n v="10"/>
    <n v="7930.630000000001"/>
    <s v="March"/>
    <n v="0.93181489727938716"/>
    <m/>
    <m/>
  </r>
  <r>
    <s v="ORD00404"/>
    <s v="2025-10-23"/>
    <x v="2"/>
    <x v="1"/>
    <s v="Office Supplies"/>
    <n v="12439.57"/>
    <n v="1047.4100000000001"/>
    <n v="6"/>
    <n v="11392.16"/>
    <s v="October"/>
    <n v="0.91580014421720368"/>
    <m/>
    <m/>
  </r>
  <r>
    <s v="ORD00405"/>
    <s v="2025-01-08"/>
    <x v="0"/>
    <x v="1"/>
    <s v="Electronics"/>
    <n v="48697.38"/>
    <n v="3824.25"/>
    <n v="2"/>
    <n v="44873.13"/>
    <s v="January"/>
    <n v="0.92146908108814063"/>
    <m/>
    <m/>
  </r>
  <r>
    <s v="ORD00406"/>
    <s v="2025-05-22"/>
    <x v="3"/>
    <x v="0"/>
    <s v="Electronics"/>
    <n v="43189.86"/>
    <n v="12950.98"/>
    <n v="12"/>
    <n v="30238.880000000001"/>
    <s v="May"/>
    <n v="0.70013841211802952"/>
    <m/>
    <m/>
  </r>
  <r>
    <s v="ORD00407"/>
    <s v="2025-10-14"/>
    <x v="0"/>
    <x v="3"/>
    <s v="Accessories"/>
    <n v="45494.89"/>
    <n v="4627.38"/>
    <n v="13"/>
    <n v="40867.51"/>
    <s v="October"/>
    <n v="0.89828791761008775"/>
    <m/>
    <m/>
  </r>
  <r>
    <s v="ORD00408"/>
    <s v="2025-07-22"/>
    <x v="2"/>
    <x v="4"/>
    <s v="Office Supplies"/>
    <n v="21403.73"/>
    <n v="3690.25"/>
    <n v="5"/>
    <n v="17713.48"/>
    <s v="July"/>
    <n v="0.82758846238482731"/>
    <m/>
    <m/>
  </r>
  <r>
    <s v="ORD00409"/>
    <s v="2025-09-28"/>
    <x v="3"/>
    <x v="2"/>
    <s v="Electronics"/>
    <n v="5295.63"/>
    <n v="271.23"/>
    <n v="6"/>
    <n v="5024.3999999999996"/>
    <s v="September"/>
    <n v="0.94878229785691215"/>
    <m/>
    <m/>
  </r>
  <r>
    <s v="ORD00410"/>
    <s v="2025-01-22"/>
    <x v="2"/>
    <x v="5"/>
    <s v="Accessories"/>
    <n v="1635.49"/>
    <n v="373.06"/>
    <n v="8"/>
    <n v="1262.43"/>
    <s v="January"/>
    <n v="0.77189710728894712"/>
    <m/>
    <m/>
  </r>
  <r>
    <s v="ORD00411"/>
    <s v="2025-03-03"/>
    <x v="1"/>
    <x v="2"/>
    <s v="Office Supplies"/>
    <n v="24774.06"/>
    <n v="1448.75"/>
    <n v="9"/>
    <n v="23325.31"/>
    <s v="March"/>
    <n v="0.94152149466014046"/>
    <m/>
    <m/>
  </r>
  <r>
    <s v="ORD00412"/>
    <s v="2025-10-31"/>
    <x v="2"/>
    <x v="0"/>
    <s v="Electronics"/>
    <n v="29877.23"/>
    <n v="6288.12"/>
    <n v="5"/>
    <n v="23589.11"/>
    <s v="October"/>
    <n v="0.78953470586128638"/>
    <m/>
    <m/>
  </r>
  <r>
    <s v="ORD00413"/>
    <s v="2025-07-10"/>
    <x v="0"/>
    <x v="5"/>
    <s v="Accessories"/>
    <n v="9698.23"/>
    <n v="1386"/>
    <n v="2"/>
    <n v="8312.23"/>
    <s v="July"/>
    <n v="0.8570873241818352"/>
    <m/>
    <m/>
  </r>
  <r>
    <s v="ORD00414"/>
    <s v="2025-11-12"/>
    <x v="2"/>
    <x v="4"/>
    <s v="Accessories"/>
    <n v="9145.15"/>
    <n v="982.35"/>
    <n v="10"/>
    <n v="8162.7999999999993"/>
    <s v="November"/>
    <n v="0.89258240706822733"/>
    <m/>
    <m/>
  </r>
  <r>
    <s v="ORD00415"/>
    <s v="2025-05-15"/>
    <x v="0"/>
    <x v="3"/>
    <s v="Accessories"/>
    <n v="36555.47"/>
    <n v="5658.74"/>
    <n v="1"/>
    <n v="30896.730000000003"/>
    <s v="May"/>
    <n v="0.84520127904250719"/>
    <m/>
    <m/>
  </r>
  <r>
    <s v="ORD00416"/>
    <s v="2025-02-22"/>
    <x v="2"/>
    <x v="4"/>
    <s v="Accessories"/>
    <n v="26738.94"/>
    <n v="7884.3"/>
    <n v="4"/>
    <n v="18854.64"/>
    <s v="February"/>
    <n v="0.70513790000650733"/>
    <m/>
    <m/>
  </r>
  <r>
    <s v="ORD00417"/>
    <s v="2025-12-27"/>
    <x v="1"/>
    <x v="2"/>
    <s v="Accessories"/>
    <n v="3589.95"/>
    <n v="308.31"/>
    <n v="3"/>
    <n v="3281.64"/>
    <s v="December"/>
    <n v="0.91411858103873311"/>
    <m/>
    <m/>
  </r>
  <r>
    <s v="ORD00418"/>
    <s v="2025-06-08"/>
    <x v="3"/>
    <x v="1"/>
    <s v="Office Supplies"/>
    <n v="28565.53"/>
    <n v="8453.24"/>
    <n v="12"/>
    <n v="20112.29"/>
    <s v="June"/>
    <n v="0.70407550638829397"/>
    <m/>
    <m/>
  </r>
  <r>
    <s v="ORD00419"/>
    <s v="2025-10-10"/>
    <x v="1"/>
    <x v="1"/>
    <s v="Office Supplies"/>
    <n v="20508.689999999999"/>
    <n v="2738.04"/>
    <n v="5"/>
    <n v="17770.649999999998"/>
    <s v="October"/>
    <n v="0.86649366683098716"/>
    <m/>
    <m/>
  </r>
  <r>
    <s v="ORD00420"/>
    <s v="2025-08-15"/>
    <x v="0"/>
    <x v="0"/>
    <s v="Accessories"/>
    <n v="4719.7700000000004"/>
    <n v="386.68"/>
    <n v="7"/>
    <n v="4333.09"/>
    <s v="August"/>
    <n v="0.91807227894579602"/>
    <m/>
    <m/>
  </r>
  <r>
    <s v="ORD00421"/>
    <s v="2025-09-22"/>
    <x v="0"/>
    <x v="1"/>
    <s v="Accessories"/>
    <n v="34416.160000000003"/>
    <n v="7883.39"/>
    <n v="4"/>
    <n v="26532.770000000004"/>
    <s v="September"/>
    <n v="0.77093929130966388"/>
    <m/>
    <m/>
  </r>
  <r>
    <s v="ORD00422"/>
    <s v="2025-10-07"/>
    <x v="1"/>
    <x v="4"/>
    <s v="Office Supplies"/>
    <n v="15173.03"/>
    <n v="4425.24"/>
    <n v="19"/>
    <n v="10747.79"/>
    <s v="October"/>
    <n v="0.7083482995815602"/>
    <m/>
    <m/>
  </r>
  <r>
    <s v="ORD00423"/>
    <s v="2025-05-05"/>
    <x v="3"/>
    <x v="3"/>
    <s v="Accessories"/>
    <n v="1922.52"/>
    <n v="449.86"/>
    <n v="14"/>
    <n v="1472.6599999999999"/>
    <s v="May"/>
    <n v="0.76600503505815276"/>
    <m/>
    <m/>
  </r>
  <r>
    <s v="ORD00424"/>
    <s v="2025-11-13"/>
    <x v="3"/>
    <x v="0"/>
    <s v="Electronics"/>
    <n v="11571.11"/>
    <n v="3449.86"/>
    <n v="20"/>
    <n v="8121.25"/>
    <s v="November"/>
    <n v="0.70185574244821802"/>
    <m/>
    <m/>
  </r>
  <r>
    <s v="ORD00425"/>
    <s v="2025-09-23"/>
    <x v="0"/>
    <x v="3"/>
    <s v="Electronics"/>
    <n v="46635.06"/>
    <n v="11156.41"/>
    <n v="2"/>
    <n v="35478.649999999994"/>
    <s v="September"/>
    <n v="0.76077204575270185"/>
    <m/>
    <m/>
  </r>
  <r>
    <s v="ORD00426"/>
    <s v="2025-05-31"/>
    <x v="0"/>
    <x v="0"/>
    <s v="Electronics"/>
    <n v="49371.7"/>
    <n v="6277.67"/>
    <n v="9"/>
    <n v="43094.03"/>
    <s v="May"/>
    <n v="0.87284881825013116"/>
    <m/>
    <m/>
  </r>
  <r>
    <s v="ORD00427"/>
    <s v="2025-04-25"/>
    <x v="0"/>
    <x v="2"/>
    <s v="Accessories"/>
    <n v="35477.64"/>
    <n v="7858.34"/>
    <n v="1"/>
    <n v="27619.3"/>
    <s v="April"/>
    <n v="0.77849879529754518"/>
    <m/>
    <m/>
  </r>
  <r>
    <s v="ORD00428"/>
    <s v="2025-09-22"/>
    <x v="2"/>
    <x v="4"/>
    <s v="Accessories"/>
    <n v="29608.36"/>
    <n v="8454.7199999999993"/>
    <n v="1"/>
    <n v="21153.64"/>
    <s v="September"/>
    <n v="0.71444821665232383"/>
    <m/>
    <m/>
  </r>
  <r>
    <s v="ORD00429"/>
    <s v="2025-09-06"/>
    <x v="0"/>
    <x v="5"/>
    <s v="Office Supplies"/>
    <n v="19136.740000000002"/>
    <n v="4656.55"/>
    <n v="5"/>
    <n v="14480.190000000002"/>
    <s v="September"/>
    <n v="0.7566696312956126"/>
    <m/>
    <m/>
  </r>
  <r>
    <s v="ORD00430"/>
    <s v="2025-01-12"/>
    <x v="1"/>
    <x v="4"/>
    <s v="Accessories"/>
    <n v="36377.050000000003"/>
    <n v="6394.32"/>
    <n v="1"/>
    <n v="29982.730000000003"/>
    <s v="January"/>
    <n v="0.82422104046369893"/>
    <m/>
    <m/>
  </r>
  <r>
    <s v="ORD00431"/>
    <s v="2025-05-23"/>
    <x v="2"/>
    <x v="2"/>
    <s v="Office Supplies"/>
    <n v="20741"/>
    <n v="2718.37"/>
    <n v="10"/>
    <n v="18022.63"/>
    <s v="May"/>
    <n v="0.86893737042572683"/>
    <m/>
    <m/>
  </r>
  <r>
    <s v="ORD00432"/>
    <s v="2025-12-10"/>
    <x v="3"/>
    <x v="1"/>
    <s v="Office Supplies"/>
    <n v="17619.75"/>
    <n v="4363.79"/>
    <n v="1"/>
    <n v="13255.96"/>
    <s v="December"/>
    <n v="0.75233530555200834"/>
    <m/>
    <m/>
  </r>
  <r>
    <s v="ORD00433"/>
    <s v="2025-03-09"/>
    <x v="2"/>
    <x v="2"/>
    <s v="Electronics"/>
    <n v="15393.62"/>
    <n v="2218.8200000000002"/>
    <n v="2"/>
    <n v="13174.800000000001"/>
    <s v="March"/>
    <n v="0.85586106451893706"/>
    <m/>
    <m/>
  </r>
  <r>
    <s v="ORD00434"/>
    <s v="2025-03-23"/>
    <x v="0"/>
    <x v="1"/>
    <s v="Accessories"/>
    <n v="5118.72"/>
    <n v="1149.48"/>
    <n v="9"/>
    <n v="3969.2400000000002"/>
    <s v="March"/>
    <n v="0.7754360465116279"/>
    <m/>
    <m/>
  </r>
  <r>
    <s v="ORD00435"/>
    <s v="2025-02-08"/>
    <x v="1"/>
    <x v="5"/>
    <s v="Electronics"/>
    <n v="45512.94"/>
    <n v="3104.6"/>
    <n v="7"/>
    <n v="42408.340000000004"/>
    <s v="February"/>
    <n v="0.93178643260576011"/>
    <m/>
    <m/>
  </r>
  <r>
    <s v="ORD00436"/>
    <s v="2025-12-03"/>
    <x v="2"/>
    <x v="5"/>
    <s v="Office Supplies"/>
    <n v="26667.54"/>
    <n v="5041.0600000000004"/>
    <n v="6"/>
    <n v="21626.48"/>
    <s v="December"/>
    <n v="0.81096644084906211"/>
    <m/>
    <m/>
  </r>
  <r>
    <s v="ORD00437"/>
    <s v="2025-09-17"/>
    <x v="0"/>
    <x v="3"/>
    <s v="Electronics"/>
    <n v="6574.85"/>
    <n v="501.46"/>
    <n v="12"/>
    <n v="6073.39"/>
    <s v="September"/>
    <n v="0.92373057940485337"/>
    <m/>
    <m/>
  </r>
  <r>
    <s v="ORD00438"/>
    <s v="2025-06-05"/>
    <x v="0"/>
    <x v="2"/>
    <s v="Electronics"/>
    <n v="19872.62"/>
    <n v="2687.32"/>
    <n v="19"/>
    <n v="17185.3"/>
    <s v="June"/>
    <n v="0.86477273756555506"/>
    <m/>
    <m/>
  </r>
  <r>
    <s v="ORD00439"/>
    <s v="2025-09-13"/>
    <x v="3"/>
    <x v="3"/>
    <s v="Electronics"/>
    <n v="10658.61"/>
    <n v="2339.63"/>
    <n v="10"/>
    <n v="8318.98"/>
    <s v="September"/>
    <n v="0.7804938917926445"/>
    <m/>
    <m/>
  </r>
  <r>
    <s v="ORD00440"/>
    <s v="2025-06-21"/>
    <x v="1"/>
    <x v="2"/>
    <s v="Office Supplies"/>
    <n v="23127.72"/>
    <n v="2996.03"/>
    <n v="12"/>
    <n v="20131.690000000002"/>
    <s v="June"/>
    <n v="0.87045718298215302"/>
    <m/>
    <m/>
  </r>
  <r>
    <s v="ORD00441"/>
    <s v="2025-02-21"/>
    <x v="0"/>
    <x v="1"/>
    <s v="Electronics"/>
    <n v="41229.199999999997"/>
    <n v="6535.55"/>
    <n v="18"/>
    <n v="34693.649999999994"/>
    <s v="February"/>
    <n v="0.84148249299040478"/>
    <m/>
    <m/>
  </r>
  <r>
    <s v="ORD00442"/>
    <s v="2025-01-07"/>
    <x v="3"/>
    <x v="2"/>
    <s v="Electronics"/>
    <n v="8388.11"/>
    <n v="1467.98"/>
    <n v="1"/>
    <n v="6920.130000000001"/>
    <s v="January"/>
    <n v="0.82499275760570623"/>
    <m/>
    <m/>
  </r>
  <r>
    <s v="ORD00443"/>
    <s v="2025-09-24"/>
    <x v="0"/>
    <x v="0"/>
    <s v="Accessories"/>
    <n v="22052.02"/>
    <n v="3073.48"/>
    <n v="12"/>
    <n v="18978.54"/>
    <s v="September"/>
    <n v="0.86062591998374749"/>
    <m/>
    <m/>
  </r>
  <r>
    <s v="ORD00444"/>
    <s v="2025-10-21"/>
    <x v="1"/>
    <x v="1"/>
    <s v="Electronics"/>
    <n v="1000.33"/>
    <n v="259.56"/>
    <n v="9"/>
    <n v="740.77"/>
    <s v="October"/>
    <n v="0.74052562654324072"/>
    <m/>
    <m/>
  </r>
  <r>
    <s v="ORD00445"/>
    <s v="2025-08-02"/>
    <x v="1"/>
    <x v="3"/>
    <s v="Office Supplies"/>
    <n v="12161.51"/>
    <n v="926.14"/>
    <n v="4"/>
    <n v="11235.37"/>
    <s v="August"/>
    <n v="0.92384662759805325"/>
    <m/>
    <m/>
  </r>
  <r>
    <s v="ORD00446"/>
    <s v="2025-05-15"/>
    <x v="3"/>
    <x v="4"/>
    <s v="Office Supplies"/>
    <n v="25052.54"/>
    <n v="7049.97"/>
    <n v="9"/>
    <n v="18002.57"/>
    <s v="May"/>
    <n v="0.71859260577969331"/>
    <m/>
    <m/>
  </r>
  <r>
    <s v="ORD00447"/>
    <s v="2025-08-02"/>
    <x v="3"/>
    <x v="4"/>
    <s v="Office Supplies"/>
    <n v="26836.03"/>
    <n v="4262.9399999999996"/>
    <n v="10"/>
    <n v="22573.09"/>
    <s v="August"/>
    <n v="0.84114863487632119"/>
    <m/>
    <m/>
  </r>
  <r>
    <s v="ORD00448"/>
    <s v="2025-01-26"/>
    <x v="2"/>
    <x v="4"/>
    <s v="Electronics"/>
    <n v="8240.83"/>
    <n v="657.6"/>
    <n v="9"/>
    <n v="7583.23"/>
    <s v="January"/>
    <n v="0.92020221264120239"/>
    <m/>
    <m/>
  </r>
  <r>
    <s v="ORD00449"/>
    <s v="2025-08-01"/>
    <x v="3"/>
    <x v="3"/>
    <s v="Accessories"/>
    <n v="35238.61"/>
    <n v="3080.3"/>
    <n v="19"/>
    <n v="32158.31"/>
    <s v="August"/>
    <n v="0.91258735801440527"/>
    <m/>
    <m/>
  </r>
  <r>
    <s v="ORD00450"/>
    <s v="2025-10-12"/>
    <x v="3"/>
    <x v="1"/>
    <s v="Electronics"/>
    <n v="14497.37"/>
    <n v="1538.81"/>
    <n v="5"/>
    <n v="12958.560000000001"/>
    <s v="October"/>
    <n v="0.8938559200737789"/>
    <m/>
    <m/>
  </r>
  <r>
    <s v="ORD00451"/>
    <s v="2025-09-20"/>
    <x v="1"/>
    <x v="4"/>
    <s v="Electronics"/>
    <n v="4167.96"/>
    <n v="762.77"/>
    <n v="9"/>
    <n v="3405.19"/>
    <s v="September"/>
    <n v="0.81699200568143648"/>
    <m/>
    <m/>
  </r>
  <r>
    <s v="ORD00452"/>
    <s v="2025-01-28"/>
    <x v="3"/>
    <x v="3"/>
    <s v="Electronics"/>
    <n v="29185.97"/>
    <n v="6103.81"/>
    <n v="6"/>
    <n v="23082.16"/>
    <s v="January"/>
    <n v="0.79086492585307255"/>
    <m/>
    <m/>
  </r>
  <r>
    <s v="ORD00453"/>
    <s v="2025-07-18"/>
    <x v="0"/>
    <x v="3"/>
    <s v="Electronics"/>
    <n v="991.55"/>
    <n v="269.88"/>
    <n v="12"/>
    <n v="721.67"/>
    <s v="July"/>
    <n v="0.72782007967323881"/>
    <m/>
    <m/>
  </r>
  <r>
    <s v="ORD00454"/>
    <s v="2025-02-07"/>
    <x v="3"/>
    <x v="5"/>
    <s v="Accessories"/>
    <n v="29387.54"/>
    <n v="5612.94"/>
    <n v="12"/>
    <n v="23774.600000000002"/>
    <s v="February"/>
    <n v="0.80900272700607134"/>
    <m/>
    <m/>
  </r>
  <r>
    <s v="ORD00455"/>
    <s v="2025-12-02"/>
    <x v="2"/>
    <x v="5"/>
    <s v="Office Supplies"/>
    <n v="32591.599999999999"/>
    <n v="3575.28"/>
    <n v="2"/>
    <n v="29016.32"/>
    <s v="December"/>
    <n v="0.89030056824457837"/>
    <m/>
    <m/>
  </r>
  <r>
    <s v="ORD00456"/>
    <s v="2025-02-11"/>
    <x v="0"/>
    <x v="4"/>
    <s v="Accessories"/>
    <n v="44875.76"/>
    <n v="11677.2"/>
    <n v="2"/>
    <n v="33198.559999999998"/>
    <s v="February"/>
    <n v="0.73978825093992828"/>
    <m/>
    <m/>
  </r>
  <r>
    <s v="ORD00457"/>
    <s v="2025-03-17"/>
    <x v="3"/>
    <x v="2"/>
    <s v="Office Supplies"/>
    <n v="13305.1"/>
    <n v="3955.54"/>
    <n v="10"/>
    <n v="9349.5600000000013"/>
    <s v="March"/>
    <n v="0.70270497779047136"/>
    <m/>
    <m/>
  </r>
  <r>
    <s v="ORD00458"/>
    <s v="2025-10-03"/>
    <x v="1"/>
    <x v="3"/>
    <s v="Electronics"/>
    <n v="24946.720000000001"/>
    <n v="4826.34"/>
    <n v="3"/>
    <n v="20120.38"/>
    <s v="October"/>
    <n v="0.80653408544289595"/>
    <m/>
    <m/>
  </r>
  <r>
    <s v="ORD00459"/>
    <s v="2025-06-30"/>
    <x v="2"/>
    <x v="3"/>
    <s v="Office Supplies"/>
    <n v="23493.49"/>
    <n v="3312.86"/>
    <n v="17"/>
    <n v="20180.63"/>
    <s v="June"/>
    <n v="0.85898817076560352"/>
    <m/>
    <m/>
  </r>
  <r>
    <s v="ORD00460"/>
    <s v="2025-11-24"/>
    <x v="0"/>
    <x v="3"/>
    <s v="Accessories"/>
    <n v="39325.31"/>
    <n v="4082.99"/>
    <n v="14"/>
    <n v="35242.32"/>
    <s v="November"/>
    <n v="0.89617399074540038"/>
    <m/>
    <m/>
  </r>
  <r>
    <s v="ORD00461"/>
    <s v="2025-04-02"/>
    <x v="2"/>
    <x v="3"/>
    <s v="Office Supplies"/>
    <n v="26704.78"/>
    <n v="4905.12"/>
    <n v="17"/>
    <n v="21799.66"/>
    <s v="April"/>
    <n v="0.81632052389122844"/>
    <m/>
    <m/>
  </r>
  <r>
    <s v="ORD00462"/>
    <s v="2025-05-11"/>
    <x v="2"/>
    <x v="3"/>
    <s v="Office Supplies"/>
    <n v="6859.92"/>
    <n v="930.59"/>
    <n v="10"/>
    <n v="5929.33"/>
    <s v="May"/>
    <n v="0.86434389905421638"/>
    <m/>
    <m/>
  </r>
  <r>
    <s v="ORD00463"/>
    <s v="2025-05-31"/>
    <x v="0"/>
    <x v="3"/>
    <s v="Accessories"/>
    <n v="4691.7299999999996"/>
    <n v="997.65"/>
    <n v="16"/>
    <n v="3694.0799999999995"/>
    <s v="May"/>
    <n v="0.78735988643847787"/>
    <m/>
    <m/>
  </r>
  <r>
    <s v="ORD00464"/>
    <s v="2025-01-20"/>
    <x v="3"/>
    <x v="1"/>
    <s v="Accessories"/>
    <n v="6227.52"/>
    <n v="1001.34"/>
    <n v="16"/>
    <n v="5226.18"/>
    <s v="January"/>
    <n v="0.83920726067519658"/>
    <m/>
    <m/>
  </r>
  <r>
    <s v="ORD00465"/>
    <s v="2025-07-09"/>
    <x v="3"/>
    <x v="1"/>
    <s v="Office Supplies"/>
    <n v="15717.32"/>
    <n v="4353.3900000000003"/>
    <n v="1"/>
    <n v="11363.93"/>
    <s v="July"/>
    <n v="0.72301957331148059"/>
    <m/>
    <m/>
  </r>
  <r>
    <s v="ORD00466"/>
    <s v="2025-11-18"/>
    <x v="2"/>
    <x v="1"/>
    <s v="Accessories"/>
    <n v="14527.31"/>
    <n v="3325.79"/>
    <n v="4"/>
    <n v="11201.52"/>
    <s v="November"/>
    <n v="0.7710663570888211"/>
    <m/>
    <m/>
  </r>
  <r>
    <s v="ORD00467"/>
    <s v="2025-02-20"/>
    <x v="0"/>
    <x v="5"/>
    <s v="Electronics"/>
    <n v="6240.77"/>
    <n v="1069.31"/>
    <n v="9"/>
    <n v="5171.4600000000009"/>
    <s v="February"/>
    <n v="0.82865736119100697"/>
    <m/>
    <m/>
  </r>
  <r>
    <s v="ORD00468"/>
    <s v="2025-06-24"/>
    <x v="1"/>
    <x v="0"/>
    <s v="Accessories"/>
    <n v="15974.69"/>
    <n v="4188.1499999999996"/>
    <n v="16"/>
    <n v="11786.54"/>
    <s v="June"/>
    <n v="0.73782589834294132"/>
    <m/>
    <m/>
  </r>
  <r>
    <s v="ORD00469"/>
    <s v="2025-10-12"/>
    <x v="1"/>
    <x v="5"/>
    <s v="Office Supplies"/>
    <n v="18886.810000000001"/>
    <n v="1457.38"/>
    <n v="9"/>
    <n v="17429.43"/>
    <s v="October"/>
    <n v="0.92283609566676417"/>
    <m/>
    <m/>
  </r>
  <r>
    <s v="ORD00470"/>
    <s v="2025-10-11"/>
    <x v="3"/>
    <x v="5"/>
    <s v="Office Supplies"/>
    <n v="15884.71"/>
    <n v="2385.1"/>
    <n v="7"/>
    <n v="13499.609999999999"/>
    <s v="October"/>
    <n v="0.84984932051010054"/>
    <m/>
    <m/>
  </r>
  <r>
    <s v="ORD00471"/>
    <s v="2025-05-21"/>
    <x v="0"/>
    <x v="3"/>
    <s v="Accessories"/>
    <n v="2433.7399999999998"/>
    <n v="365.49"/>
    <n v="8"/>
    <n v="2068.25"/>
    <s v="May"/>
    <n v="0.84982372808927831"/>
    <m/>
    <m/>
  </r>
  <r>
    <s v="ORD00472"/>
    <s v="2025-05-03"/>
    <x v="3"/>
    <x v="1"/>
    <s v="Electronics"/>
    <n v="2800.81"/>
    <n v="362.13"/>
    <n v="6"/>
    <n v="2438.6799999999998"/>
    <s v="May"/>
    <n v="0.87070526026399497"/>
    <m/>
    <m/>
  </r>
  <r>
    <s v="ORD00473"/>
    <s v="2025-03-27"/>
    <x v="1"/>
    <x v="5"/>
    <s v="Electronics"/>
    <n v="34364.800000000003"/>
    <n v="7003.77"/>
    <n v="9"/>
    <n v="27361.030000000002"/>
    <s v="March"/>
    <n v="0.79619348868609741"/>
    <m/>
    <m/>
  </r>
  <r>
    <s v="ORD00474"/>
    <s v="2025-07-24"/>
    <x v="2"/>
    <x v="3"/>
    <s v="Electronics"/>
    <n v="18199.03"/>
    <n v="4294.8999999999996"/>
    <n v="11"/>
    <n v="13904.13"/>
    <s v="July"/>
    <n v="0.76400390570266663"/>
    <m/>
    <m/>
  </r>
  <r>
    <s v="ORD00475"/>
    <s v="2025-10-07"/>
    <x v="1"/>
    <x v="5"/>
    <s v="Accessories"/>
    <n v="18918.68"/>
    <n v="2054.11"/>
    <n v="3"/>
    <n v="16864.57"/>
    <s v="October"/>
    <n v="0.89142424312901325"/>
    <m/>
    <m/>
  </r>
  <r>
    <s v="ORD00476"/>
    <s v="2025-07-20"/>
    <x v="0"/>
    <x v="3"/>
    <s v="Office Supplies"/>
    <n v="40487.519999999997"/>
    <n v="10964.74"/>
    <n v="6"/>
    <n v="29522.78"/>
    <s v="July"/>
    <n v="0.72918222701711544"/>
    <m/>
    <m/>
  </r>
  <r>
    <s v="ORD00477"/>
    <s v="2025-09-12"/>
    <x v="3"/>
    <x v="1"/>
    <s v="Electronics"/>
    <n v="42415.07"/>
    <n v="10558.49"/>
    <n v="11"/>
    <n v="31856.58"/>
    <s v="September"/>
    <n v="0.75106748615527452"/>
    <m/>
    <m/>
  </r>
  <r>
    <s v="ORD00478"/>
    <s v="2025-05-08"/>
    <x v="3"/>
    <x v="1"/>
    <s v="Accessories"/>
    <n v="18372.78"/>
    <n v="4575.42"/>
    <n v="19"/>
    <n v="13797.359999999999"/>
    <s v="May"/>
    <n v="0.75096746382420076"/>
    <m/>
    <m/>
  </r>
  <r>
    <s v="ORD00479"/>
    <s v="2025-10-24"/>
    <x v="3"/>
    <x v="5"/>
    <s v="Accessories"/>
    <n v="40070.370000000003"/>
    <n v="6943.45"/>
    <n v="9"/>
    <n v="33126.920000000006"/>
    <s v="October"/>
    <n v="0.82671859531119885"/>
    <m/>
    <m/>
  </r>
  <r>
    <s v="ORD00480"/>
    <s v="2025-12-05"/>
    <x v="2"/>
    <x v="1"/>
    <s v="Accessories"/>
    <n v="25632.15"/>
    <n v="7363.13"/>
    <n v="2"/>
    <n v="18269.02"/>
    <s v="December"/>
    <n v="0.71273849442984683"/>
    <m/>
    <m/>
  </r>
  <r>
    <s v="ORD00481"/>
    <s v="2025-02-03"/>
    <x v="0"/>
    <x v="3"/>
    <s v="Accessories"/>
    <n v="10858.98"/>
    <n v="2728.4"/>
    <n v="12"/>
    <n v="8130.58"/>
    <s v="February"/>
    <n v="0.74874251541120806"/>
    <m/>
    <m/>
  </r>
  <r>
    <s v="ORD00482"/>
    <s v="2025-06-08"/>
    <x v="2"/>
    <x v="0"/>
    <s v="Office Supplies"/>
    <n v="15597"/>
    <n v="1534.64"/>
    <n v="9"/>
    <n v="14062.36"/>
    <s v="June"/>
    <n v="0.90160671924087965"/>
    <m/>
    <m/>
  </r>
  <r>
    <s v="ORD00483"/>
    <s v="2025-10-29"/>
    <x v="3"/>
    <x v="0"/>
    <s v="Office Supplies"/>
    <n v="7034.36"/>
    <n v="863.36"/>
    <n v="8"/>
    <n v="6171"/>
    <s v="October"/>
    <n v="0.87726530913970857"/>
    <m/>
    <m/>
  </r>
  <r>
    <s v="ORD00484"/>
    <s v="2025-06-12"/>
    <x v="1"/>
    <x v="5"/>
    <s v="Office Supplies"/>
    <n v="45584.92"/>
    <n v="10429.59"/>
    <n v="2"/>
    <n v="35155.33"/>
    <s v="June"/>
    <n v="0.77120525823013408"/>
    <m/>
    <m/>
  </r>
  <r>
    <s v="ORD00485"/>
    <s v="2025-07-12"/>
    <x v="0"/>
    <x v="5"/>
    <s v="Office Supplies"/>
    <n v="16665.38"/>
    <n v="4396.72"/>
    <n v="10"/>
    <n v="12268.66"/>
    <s v="July"/>
    <n v="0.73617643282061374"/>
    <m/>
    <m/>
  </r>
  <r>
    <s v="ORD00486"/>
    <s v="2025-09-02"/>
    <x v="3"/>
    <x v="5"/>
    <s v="Office Supplies"/>
    <n v="2825.35"/>
    <n v="605.83000000000004"/>
    <n v="16"/>
    <n v="2219.52"/>
    <s v="September"/>
    <n v="0.7855734687737802"/>
    <m/>
    <m/>
  </r>
  <r>
    <s v="ORD00487"/>
    <s v="2025-08-19"/>
    <x v="0"/>
    <x v="0"/>
    <s v="Accessories"/>
    <n v="5448.18"/>
    <n v="1595.95"/>
    <n v="15"/>
    <n v="3852.2300000000005"/>
    <s v="August"/>
    <n v="0.70706731422236424"/>
    <m/>
    <m/>
  </r>
  <r>
    <s v="ORD00488"/>
    <s v="2025-10-20"/>
    <x v="1"/>
    <x v="5"/>
    <s v="Electronics"/>
    <n v="17166.29"/>
    <n v="2306.5"/>
    <n v="5"/>
    <n v="14859.79"/>
    <s v="October"/>
    <n v="0.86563782855818006"/>
    <m/>
    <m/>
  </r>
  <r>
    <s v="ORD00489"/>
    <s v="2025-01-10"/>
    <x v="3"/>
    <x v="4"/>
    <s v="Electronics"/>
    <n v="22337.49"/>
    <n v="2230.1999999999998"/>
    <n v="1"/>
    <n v="20107.29"/>
    <s v="January"/>
    <n v="0.90015888087694718"/>
    <m/>
    <m/>
  </r>
  <r>
    <s v="ORD00490"/>
    <s v="2025-07-14"/>
    <x v="0"/>
    <x v="4"/>
    <s v="Accessories"/>
    <n v="41749.279999999999"/>
    <n v="7389.33"/>
    <n v="20"/>
    <n v="34359.949999999997"/>
    <s v="July"/>
    <n v="0.82300700754599831"/>
    <m/>
    <m/>
  </r>
  <r>
    <s v="ORD00491"/>
    <s v="2025-12-31"/>
    <x v="1"/>
    <x v="4"/>
    <s v="Electronics"/>
    <n v="25452.21"/>
    <n v="4816.8500000000004"/>
    <n v="20"/>
    <n v="20635.36"/>
    <s v="December"/>
    <n v="0.8107492433859379"/>
    <m/>
    <m/>
  </r>
  <r>
    <s v="ORD00492"/>
    <s v="2025-11-27"/>
    <x v="1"/>
    <x v="5"/>
    <s v="Electronics"/>
    <n v="37494.1"/>
    <n v="3554.97"/>
    <n v="19"/>
    <n v="33939.129999999997"/>
    <s v="November"/>
    <n v="0.90518588257885901"/>
    <m/>
    <m/>
  </r>
  <r>
    <s v="ORD00493"/>
    <s v="2025-03-15"/>
    <x v="2"/>
    <x v="0"/>
    <s v="Office Supplies"/>
    <n v="46869.29"/>
    <n v="12627.37"/>
    <n v="5"/>
    <n v="34241.919999999998"/>
    <s v="March"/>
    <n v="0.73058328811893669"/>
    <m/>
    <m/>
  </r>
  <r>
    <s v="ORD00494"/>
    <s v="2025-03-19"/>
    <x v="3"/>
    <x v="5"/>
    <s v="Electronics"/>
    <n v="38675.839999999997"/>
    <n v="11172.12"/>
    <n v="4"/>
    <n v="27503.719999999994"/>
    <s v="March"/>
    <n v="0.7111343929440187"/>
    <m/>
    <m/>
  </r>
  <r>
    <s v="ORD00495"/>
    <s v="2025-09-24"/>
    <x v="1"/>
    <x v="2"/>
    <s v="Accessories"/>
    <n v="26449.61"/>
    <n v="2404.65"/>
    <n v="5"/>
    <n v="24044.959999999999"/>
    <s v="September"/>
    <n v="0.90908561600719251"/>
    <m/>
    <m/>
  </r>
  <r>
    <s v="ORD00496"/>
    <s v="2025-04-08"/>
    <x v="0"/>
    <x v="4"/>
    <s v="Electronics"/>
    <n v="21801.11"/>
    <n v="3492.68"/>
    <n v="5"/>
    <n v="18308.43"/>
    <s v="April"/>
    <n v="0.83979347840545737"/>
    <m/>
    <m/>
  </r>
  <r>
    <s v="ORD00497"/>
    <s v="2025-10-14"/>
    <x v="0"/>
    <x v="1"/>
    <s v="Office Supplies"/>
    <n v="38238.51"/>
    <n v="3811.65"/>
    <n v="10"/>
    <n v="34426.86"/>
    <s v="October"/>
    <n v="0.90031907624015683"/>
    <m/>
    <m/>
  </r>
  <r>
    <s v="ORD00498"/>
    <s v="2025-09-01"/>
    <x v="3"/>
    <x v="2"/>
    <s v="Electronics"/>
    <n v="22443.02"/>
    <n v="1262.53"/>
    <n v="3"/>
    <n v="21180.49"/>
    <s v="September"/>
    <n v="0.94374509312917787"/>
    <m/>
    <m/>
  </r>
  <r>
    <s v="ORD00499"/>
    <s v="2025-02-20"/>
    <x v="0"/>
    <x v="3"/>
    <s v="Accessories"/>
    <n v="38223.26"/>
    <n v="5976.19"/>
    <n v="13"/>
    <n v="32247.070000000003"/>
    <s v="February"/>
    <n v="0.8436504369329042"/>
    <m/>
    <m/>
  </r>
  <r>
    <s v="ORD00500"/>
    <s v="2025-03-18"/>
    <x v="2"/>
    <x v="1"/>
    <s v="Electronics"/>
    <n v="48433.84"/>
    <n v="12008.4"/>
    <n v="5"/>
    <n v="36425.439999999995"/>
    <s v="March"/>
    <n v="0.75206591094160602"/>
    <m/>
    <m/>
  </r>
  <r>
    <s v="ORD00501"/>
    <s v="2025-08-23"/>
    <x v="1"/>
    <x v="3"/>
    <s v="Office Supplies"/>
    <n v="2932.33"/>
    <n v="508.24"/>
    <n v="8"/>
    <n v="2424.09"/>
    <s v="August"/>
    <n v="0.82667707931917633"/>
    <m/>
    <m/>
  </r>
  <r>
    <s v="ORD00502"/>
    <s v="2025-01-30"/>
    <x v="0"/>
    <x v="1"/>
    <s v="Office Supplies"/>
    <n v="43791.839999999997"/>
    <n v="5897.91"/>
    <n v="4"/>
    <n v="37893.929999999993"/>
    <s v="January"/>
    <n v="0.86531942937314343"/>
    <m/>
    <m/>
  </r>
  <r>
    <s v="ORD00503"/>
    <s v="2025-12-14"/>
    <x v="0"/>
    <x v="2"/>
    <s v="Accessories"/>
    <n v="20821.189999999999"/>
    <n v="2648.28"/>
    <n v="4"/>
    <n v="18172.91"/>
    <s v="December"/>
    <n v="0.87280842257334956"/>
    <m/>
    <m/>
  </r>
  <r>
    <s v="ORD00504"/>
    <s v="2025-09-28"/>
    <x v="0"/>
    <x v="3"/>
    <s v="Electronics"/>
    <n v="26625.040000000001"/>
    <n v="7855.52"/>
    <n v="18"/>
    <n v="18769.52"/>
    <s v="September"/>
    <n v="0.70495743856159465"/>
    <m/>
    <m/>
  </r>
  <r>
    <s v="ORD00505"/>
    <s v="2025-05-08"/>
    <x v="0"/>
    <x v="1"/>
    <s v="Electronics"/>
    <n v="32795.82"/>
    <n v="1825.32"/>
    <n v="5"/>
    <n v="30970.5"/>
    <s v="May"/>
    <n v="0.94434290711438229"/>
    <m/>
    <m/>
  </r>
  <r>
    <s v="ORD00506"/>
    <s v="2025-04-24"/>
    <x v="1"/>
    <x v="3"/>
    <s v="Accessories"/>
    <n v="14682.67"/>
    <n v="2789.78"/>
    <n v="11"/>
    <n v="11892.89"/>
    <s v="April"/>
    <n v="0.80999504858448768"/>
    <m/>
    <m/>
  </r>
  <r>
    <s v="ORD00507"/>
    <s v="2025-07-20"/>
    <x v="1"/>
    <x v="1"/>
    <s v="Electronics"/>
    <n v="8498.07"/>
    <n v="2111.5300000000002"/>
    <n v="11"/>
    <n v="6386.5399999999991"/>
    <s v="July"/>
    <n v="0.75152828818778838"/>
    <m/>
    <m/>
  </r>
  <r>
    <s v="ORD00508"/>
    <s v="2025-06-13"/>
    <x v="1"/>
    <x v="1"/>
    <s v="Accessories"/>
    <n v="1582.28"/>
    <n v="257.86"/>
    <n v="12"/>
    <n v="1324.42"/>
    <s v="June"/>
    <n v="0.8370326364486691"/>
    <m/>
    <m/>
  </r>
  <r>
    <s v="ORD00509"/>
    <s v="2025-02-27"/>
    <x v="2"/>
    <x v="1"/>
    <s v="Office Supplies"/>
    <n v="45499.95"/>
    <n v="8669.1299999999992"/>
    <n v="14"/>
    <n v="36830.82"/>
    <s v="February"/>
    <n v="0.80946946095545169"/>
    <m/>
    <m/>
  </r>
  <r>
    <s v="ORD00510"/>
    <s v="2025-10-13"/>
    <x v="3"/>
    <x v="5"/>
    <s v="Electronics"/>
    <n v="26049.41"/>
    <n v="4566.37"/>
    <n v="17"/>
    <n v="21483.040000000001"/>
    <s v="October"/>
    <n v="0.82470351535792941"/>
    <m/>
    <m/>
  </r>
  <r>
    <s v="ORD00511"/>
    <s v="2025-08-14"/>
    <x v="2"/>
    <x v="3"/>
    <s v="Office Supplies"/>
    <n v="15005.54"/>
    <n v="3662.89"/>
    <n v="19"/>
    <n v="11342.650000000001"/>
    <s v="August"/>
    <n v="0.75589748852757055"/>
    <m/>
    <m/>
  </r>
  <r>
    <s v="ORD00512"/>
    <s v="2025-12-14"/>
    <x v="0"/>
    <x v="5"/>
    <s v="Office Supplies"/>
    <n v="48189.98"/>
    <n v="14264.51"/>
    <n v="14"/>
    <n v="33925.47"/>
    <s v="December"/>
    <n v="0.70399427432839767"/>
    <m/>
    <m/>
  </r>
  <r>
    <s v="ORD00513"/>
    <s v="2025-05-02"/>
    <x v="2"/>
    <x v="0"/>
    <s v="Office Supplies"/>
    <n v="25016.97"/>
    <n v="6767.28"/>
    <n v="9"/>
    <n v="18249.690000000002"/>
    <s v="May"/>
    <n v="0.72949242054493413"/>
    <m/>
    <m/>
  </r>
  <r>
    <s v="ORD00514"/>
    <s v="2025-11-20"/>
    <x v="2"/>
    <x v="3"/>
    <s v="Office Supplies"/>
    <n v="33862.36"/>
    <n v="7643.77"/>
    <n v="7"/>
    <n v="26218.59"/>
    <s v="November"/>
    <n v="0.7742694248126829"/>
    <m/>
    <m/>
  </r>
  <r>
    <s v="ORD00515"/>
    <s v="2025-06-19"/>
    <x v="0"/>
    <x v="4"/>
    <s v="Electronics"/>
    <n v="17714.62"/>
    <n v="1496.47"/>
    <n v="11"/>
    <n v="16218.15"/>
    <s v="June"/>
    <n v="0.91552344899297866"/>
    <m/>
    <m/>
  </r>
  <r>
    <s v="ORD00516"/>
    <s v="2025-06-13"/>
    <x v="2"/>
    <x v="0"/>
    <s v="Office Supplies"/>
    <n v="1447.94"/>
    <n v="348.17"/>
    <n v="11"/>
    <n v="1099.77"/>
    <s v="June"/>
    <n v="0.7595411412075086"/>
    <m/>
    <m/>
  </r>
  <r>
    <s v="ORD00517"/>
    <s v="2025-08-31"/>
    <x v="2"/>
    <x v="1"/>
    <s v="Electronics"/>
    <n v="2175.9499999999998"/>
    <n v="367.51"/>
    <n v="5"/>
    <n v="1808.4399999999998"/>
    <s v="August"/>
    <n v="0.83110365587444568"/>
    <m/>
    <m/>
  </r>
  <r>
    <s v="ORD00518"/>
    <s v="2025-10-27"/>
    <x v="3"/>
    <x v="5"/>
    <s v="Office Supplies"/>
    <n v="32410.71"/>
    <n v="5865.97"/>
    <n v="13"/>
    <n v="26544.739999999998"/>
    <s v="October"/>
    <n v="0.81901137000701307"/>
    <m/>
    <m/>
  </r>
  <r>
    <s v="ORD00519"/>
    <s v="2025-08-23"/>
    <x v="2"/>
    <x v="2"/>
    <s v="Accessories"/>
    <n v="889.94"/>
    <n v="134.77000000000001"/>
    <n v="5"/>
    <n v="755.17000000000007"/>
    <s v="August"/>
    <n v="0.84856282446007603"/>
    <m/>
    <m/>
  </r>
  <r>
    <s v="ORD00520"/>
    <s v="2025-03-22"/>
    <x v="0"/>
    <x v="4"/>
    <s v="Office Supplies"/>
    <n v="48058.03"/>
    <n v="11846.48"/>
    <n v="13"/>
    <n v="36211.550000000003"/>
    <s v="March"/>
    <n v="0.75349634598005799"/>
    <m/>
    <m/>
  </r>
  <r>
    <s v="ORD00521"/>
    <s v="2025-07-01"/>
    <x v="1"/>
    <x v="0"/>
    <s v="Office Supplies"/>
    <n v="3967.07"/>
    <n v="711.02"/>
    <n v="14"/>
    <n v="3256.05"/>
    <s v="July"/>
    <n v="0.82076948478348"/>
    <m/>
    <m/>
  </r>
  <r>
    <s v="ORD00522"/>
    <s v="2025-12-24"/>
    <x v="1"/>
    <x v="3"/>
    <s v="Electronics"/>
    <n v="38053.75"/>
    <n v="6140.56"/>
    <n v="3"/>
    <n v="31913.19"/>
    <s v="December"/>
    <n v="0.83863456295371674"/>
    <m/>
    <m/>
  </r>
  <r>
    <s v="ORD00523"/>
    <s v="2025-01-03"/>
    <x v="1"/>
    <x v="2"/>
    <s v="Accessories"/>
    <n v="38215.199999999997"/>
    <n v="6108.14"/>
    <n v="6"/>
    <n v="32107.059999999998"/>
    <s v="January"/>
    <n v="0.84016464652808309"/>
    <m/>
    <m/>
  </r>
  <r>
    <s v="ORD00524"/>
    <s v="2025-07-28"/>
    <x v="0"/>
    <x v="4"/>
    <s v="Accessories"/>
    <n v="36964.69"/>
    <n v="5529.3"/>
    <n v="15"/>
    <n v="31435.390000000003"/>
    <s v="July"/>
    <n v="0.85041670848585504"/>
    <m/>
    <m/>
  </r>
  <r>
    <s v="ORD00525"/>
    <s v="2025-08-13"/>
    <x v="2"/>
    <x v="0"/>
    <s v="Electronics"/>
    <n v="11863.64"/>
    <n v="3001.82"/>
    <n v="2"/>
    <n v="8861.82"/>
    <s v="August"/>
    <n v="0.74697310437606002"/>
    <m/>
    <m/>
  </r>
  <r>
    <s v="ORD00526"/>
    <s v="2025-01-27"/>
    <x v="0"/>
    <x v="1"/>
    <s v="Accessories"/>
    <n v="16711.740000000002"/>
    <n v="2923.62"/>
    <n v="6"/>
    <n v="13788.120000000003"/>
    <s v="January"/>
    <n v="0.82505591877326967"/>
    <m/>
    <m/>
  </r>
  <r>
    <s v="ORD00527"/>
    <s v="2025-06-25"/>
    <x v="0"/>
    <x v="4"/>
    <s v="Accessories"/>
    <n v="36193.160000000003"/>
    <n v="7113.21"/>
    <n v="3"/>
    <n v="29079.950000000004"/>
    <s v="June"/>
    <n v="0.80346535091160876"/>
    <m/>
    <m/>
  </r>
  <r>
    <s v="ORD00528"/>
    <s v="2025-06-20"/>
    <x v="1"/>
    <x v="1"/>
    <s v="Office Supplies"/>
    <n v="16510.03"/>
    <n v="1813.44"/>
    <n v="2"/>
    <n v="14696.589999999998"/>
    <s v="June"/>
    <n v="0.89016131406181576"/>
    <m/>
    <m/>
  </r>
  <r>
    <s v="ORD00529"/>
    <s v="2025-06-28"/>
    <x v="0"/>
    <x v="5"/>
    <s v="Electronics"/>
    <n v="8875.24"/>
    <n v="1365.35"/>
    <n v="8"/>
    <n v="7509.8899999999994"/>
    <s v="June"/>
    <n v="0.84616190660759594"/>
    <m/>
    <m/>
  </r>
  <r>
    <s v="ORD00530"/>
    <s v="2025-08-04"/>
    <x v="3"/>
    <x v="2"/>
    <s v="Accessories"/>
    <n v="23697.53"/>
    <n v="6600.65"/>
    <n v="20"/>
    <n v="17096.879999999997"/>
    <s v="August"/>
    <n v="0.72146253217107426"/>
    <m/>
    <m/>
  </r>
  <r>
    <s v="ORD00531"/>
    <s v="2025-10-17"/>
    <x v="2"/>
    <x v="3"/>
    <s v="Office Supplies"/>
    <n v="40581.07"/>
    <n v="2598.33"/>
    <n v="1"/>
    <n v="37982.74"/>
    <s v="October"/>
    <n v="0.93597187062834963"/>
    <m/>
    <m/>
  </r>
  <r>
    <s v="ORD00532"/>
    <s v="2025-03-06"/>
    <x v="0"/>
    <x v="3"/>
    <s v="Office Supplies"/>
    <n v="37960.730000000003"/>
    <n v="1974.48"/>
    <n v="16"/>
    <n v="35986.25"/>
    <s v="March"/>
    <n v="0.9479862478935468"/>
    <m/>
    <m/>
  </r>
  <r>
    <s v="ORD00533"/>
    <s v="2025-12-01"/>
    <x v="0"/>
    <x v="1"/>
    <s v="Accessories"/>
    <n v="9109.94"/>
    <n v="549.5"/>
    <n v="13"/>
    <n v="8560.44"/>
    <s v="December"/>
    <n v="0.93968127122681377"/>
    <m/>
    <m/>
  </r>
  <r>
    <s v="ORD00534"/>
    <s v="2025-07-09"/>
    <x v="0"/>
    <x v="4"/>
    <s v="Electronics"/>
    <n v="23600.02"/>
    <n v="1653.51"/>
    <n v="7"/>
    <n v="21946.510000000002"/>
    <s v="July"/>
    <n v="0.92993607632535913"/>
    <m/>
    <m/>
  </r>
  <r>
    <s v="ORD00535"/>
    <s v="2025-09-07"/>
    <x v="1"/>
    <x v="0"/>
    <s v="Office Supplies"/>
    <n v="14264.95"/>
    <n v="1982.41"/>
    <n v="10"/>
    <n v="12282.54"/>
    <s v="September"/>
    <n v="0.86102930609641115"/>
    <m/>
    <m/>
  </r>
  <r>
    <s v="ORD00536"/>
    <s v="2025-01-09"/>
    <x v="2"/>
    <x v="4"/>
    <s v="Electronics"/>
    <n v="39882.29"/>
    <n v="4167.04"/>
    <n v="18"/>
    <n v="35715.25"/>
    <s v="January"/>
    <n v="0.89551653127240183"/>
    <m/>
    <m/>
  </r>
  <r>
    <s v="ORD00537"/>
    <s v="2025-10-03"/>
    <x v="2"/>
    <x v="4"/>
    <s v="Office Supplies"/>
    <n v="39487.33"/>
    <n v="9936.4500000000007"/>
    <n v="9"/>
    <n v="29550.880000000001"/>
    <s v="October"/>
    <n v="0.74836358902969635"/>
    <m/>
    <m/>
  </r>
  <r>
    <s v="ORD00538"/>
    <s v="2025-10-31"/>
    <x v="1"/>
    <x v="3"/>
    <s v="Office Supplies"/>
    <n v="23735.599999999999"/>
    <n v="3187.51"/>
    <n v="10"/>
    <n v="20548.089999999997"/>
    <s v="October"/>
    <n v="0.86570762904666398"/>
    <m/>
    <m/>
  </r>
  <r>
    <s v="ORD00539"/>
    <s v="2025-01-17"/>
    <x v="3"/>
    <x v="1"/>
    <s v="Office Supplies"/>
    <n v="16813.27"/>
    <n v="1531.59"/>
    <n v="18"/>
    <n v="15281.68"/>
    <s v="January"/>
    <n v="0.90890588208004752"/>
    <m/>
    <m/>
  </r>
  <r>
    <s v="ORD00540"/>
    <s v="2025-06-28"/>
    <x v="2"/>
    <x v="5"/>
    <s v="Electronics"/>
    <n v="10888.32"/>
    <n v="574.52"/>
    <n v="11"/>
    <n v="10313.799999999999"/>
    <s v="June"/>
    <n v="0.94723520249221183"/>
    <m/>
    <m/>
  </r>
  <r>
    <s v="ORD00541"/>
    <s v="2025-06-23"/>
    <x v="1"/>
    <x v="5"/>
    <s v="Office Supplies"/>
    <n v="33935.68"/>
    <n v="5017.3"/>
    <n v="19"/>
    <n v="28918.38"/>
    <s v="June"/>
    <n v="0.85215266056257011"/>
    <m/>
    <m/>
  </r>
  <r>
    <s v="ORD00542"/>
    <s v="2025-10-02"/>
    <x v="1"/>
    <x v="3"/>
    <s v="Accessories"/>
    <n v="23315.15"/>
    <n v="4914.6499999999996"/>
    <n v="1"/>
    <n v="18400.5"/>
    <s v="October"/>
    <n v="0.78920787556588734"/>
    <m/>
    <m/>
  </r>
  <r>
    <s v="ORD00543"/>
    <s v="2025-08-08"/>
    <x v="1"/>
    <x v="0"/>
    <s v="Accessories"/>
    <n v="31903.59"/>
    <n v="3358.46"/>
    <n v="11"/>
    <n v="28545.13"/>
    <s v="August"/>
    <n v="0.89473096914798622"/>
    <m/>
    <m/>
  </r>
  <r>
    <s v="ORD00544"/>
    <s v="2025-08-03"/>
    <x v="3"/>
    <x v="2"/>
    <s v="Office Supplies"/>
    <n v="1697.09"/>
    <n v="86.8"/>
    <n v="19"/>
    <n v="1610.29"/>
    <s v="August"/>
    <n v="0.94885362591259159"/>
    <m/>
    <m/>
  </r>
  <r>
    <s v="ORD00545"/>
    <s v="2025-01-11"/>
    <x v="2"/>
    <x v="5"/>
    <s v="Accessories"/>
    <n v="10953.88"/>
    <n v="1544.93"/>
    <n v="7"/>
    <n v="9408.9499999999989"/>
    <s v="January"/>
    <n v="0.85896047793110752"/>
    <m/>
    <m/>
  </r>
  <r>
    <s v="ORD00546"/>
    <s v="2025-02-06"/>
    <x v="0"/>
    <x v="4"/>
    <s v="Accessories"/>
    <n v="3947.77"/>
    <n v="688.9"/>
    <n v="8"/>
    <n v="3258.87"/>
    <s v="February"/>
    <n v="0.82549641949758978"/>
    <m/>
    <m/>
  </r>
  <r>
    <s v="ORD00547"/>
    <s v="2025-06-04"/>
    <x v="0"/>
    <x v="0"/>
    <s v="Office Supplies"/>
    <n v="12767.38"/>
    <n v="3328.62"/>
    <n v="2"/>
    <n v="9438.7599999999984"/>
    <s v="June"/>
    <n v="0.73928715210168405"/>
    <m/>
    <m/>
  </r>
  <r>
    <s v="ORD00548"/>
    <s v="2025-06-07"/>
    <x v="1"/>
    <x v="0"/>
    <s v="Electronics"/>
    <n v="8432.7000000000007"/>
    <n v="1759.67"/>
    <n v="19"/>
    <n v="6673.0300000000007"/>
    <s v="June"/>
    <n v="0.79132780722662965"/>
    <m/>
    <m/>
  </r>
  <r>
    <s v="ORD00549"/>
    <s v="2025-05-01"/>
    <x v="3"/>
    <x v="2"/>
    <s v="Accessories"/>
    <n v="42338.66"/>
    <n v="5277.74"/>
    <n v="11"/>
    <n v="37060.920000000006"/>
    <s v="May"/>
    <n v="0.87534466135678368"/>
    <m/>
    <m/>
  </r>
  <r>
    <s v="ORD00550"/>
    <s v="2025-10-11"/>
    <x v="1"/>
    <x v="2"/>
    <s v="Office Supplies"/>
    <n v="30714.19"/>
    <n v="6467.46"/>
    <n v="20"/>
    <n v="24246.73"/>
    <s v="October"/>
    <n v="0.78943087869157547"/>
    <m/>
    <m/>
  </r>
  <r>
    <s v="ORD00551"/>
    <s v="2025-05-07"/>
    <x v="1"/>
    <x v="1"/>
    <s v="Electronics"/>
    <n v="47760.77"/>
    <n v="7905.36"/>
    <n v="12"/>
    <n v="39855.409999999996"/>
    <s v="May"/>
    <n v="0.83448005549324267"/>
    <m/>
    <m/>
  </r>
  <r>
    <s v="ORD00552"/>
    <s v="2025-10-29"/>
    <x v="3"/>
    <x v="3"/>
    <s v="Office Supplies"/>
    <n v="29275.99"/>
    <n v="2516.21"/>
    <n v="20"/>
    <n v="26759.780000000002"/>
    <s v="October"/>
    <n v="0.91405209524938358"/>
    <m/>
    <m/>
  </r>
  <r>
    <s v="ORD00553"/>
    <s v="2025-10-28"/>
    <x v="0"/>
    <x v="0"/>
    <s v="Office Supplies"/>
    <n v="42211.71"/>
    <n v="2942.34"/>
    <n v="18"/>
    <n v="39269.369999999995"/>
    <s v="October"/>
    <n v="0.93029564545004206"/>
    <m/>
    <m/>
  </r>
  <r>
    <s v="ORD00554"/>
    <s v="2025-12-26"/>
    <x v="2"/>
    <x v="4"/>
    <s v="Office Supplies"/>
    <n v="10455.39"/>
    <n v="2814.73"/>
    <n v="7"/>
    <n v="7640.66"/>
    <s v="December"/>
    <n v="0.73078670427406345"/>
    <m/>
    <m/>
  </r>
  <r>
    <s v="ORD00555"/>
    <s v="2025-06-13"/>
    <x v="1"/>
    <x v="4"/>
    <s v="Office Supplies"/>
    <n v="3313"/>
    <n v="896.41"/>
    <n v="8"/>
    <n v="2416.59"/>
    <s v="June"/>
    <n v="0.72942650166012679"/>
    <m/>
    <m/>
  </r>
  <r>
    <s v="ORD00556"/>
    <s v="2025-03-06"/>
    <x v="2"/>
    <x v="4"/>
    <s v="Electronics"/>
    <n v="44960.06"/>
    <n v="8130.89"/>
    <n v="20"/>
    <n v="36829.17"/>
    <s v="March"/>
    <n v="0.81915304383490595"/>
    <m/>
    <m/>
  </r>
  <r>
    <s v="ORD00557"/>
    <s v="2025-10-28"/>
    <x v="2"/>
    <x v="1"/>
    <s v="Accessories"/>
    <n v="21467.79"/>
    <n v="3281.53"/>
    <n v="10"/>
    <n v="18186.260000000002"/>
    <s v="October"/>
    <n v="0.84714169460386934"/>
    <m/>
    <m/>
  </r>
  <r>
    <s v="ORD00558"/>
    <s v="2025-09-04"/>
    <x v="1"/>
    <x v="0"/>
    <s v="Accessories"/>
    <n v="39531.629999999997"/>
    <n v="7365.95"/>
    <n v="17"/>
    <n v="32165.679999999997"/>
    <s v="September"/>
    <n v="0.81366945911413213"/>
    <m/>
    <m/>
  </r>
  <r>
    <s v="ORD00559"/>
    <s v="2025-04-12"/>
    <x v="2"/>
    <x v="0"/>
    <s v="Office Supplies"/>
    <n v="1749.79"/>
    <n v="297.17"/>
    <n v="15"/>
    <n v="1452.62"/>
    <s v="April"/>
    <n v="0.83016819161156474"/>
    <m/>
    <m/>
  </r>
  <r>
    <s v="ORD00560"/>
    <s v="2025-12-12"/>
    <x v="1"/>
    <x v="2"/>
    <s v="Office Supplies"/>
    <n v="45985.440000000002"/>
    <n v="11507.78"/>
    <n v="9"/>
    <n v="34477.660000000003"/>
    <s v="December"/>
    <n v="0.7497516605255925"/>
    <m/>
    <m/>
  </r>
  <r>
    <s v="ORD00561"/>
    <s v="2025-05-13"/>
    <x v="0"/>
    <x v="5"/>
    <s v="Office Supplies"/>
    <n v="45590.16"/>
    <n v="5270.71"/>
    <n v="3"/>
    <n v="40319.450000000004"/>
    <s v="May"/>
    <n v="0.88438930681533034"/>
    <m/>
    <m/>
  </r>
  <r>
    <s v="ORD00562"/>
    <s v="2025-04-28"/>
    <x v="2"/>
    <x v="0"/>
    <s v="Electronics"/>
    <n v="17766.169999999998"/>
    <n v="1609.43"/>
    <n v="8"/>
    <n v="16156.739999999998"/>
    <s v="April"/>
    <n v="0.90941041316164373"/>
    <m/>
    <m/>
  </r>
  <r>
    <s v="ORD00563"/>
    <s v="2025-12-21"/>
    <x v="2"/>
    <x v="3"/>
    <s v="Office Supplies"/>
    <n v="23165.4"/>
    <n v="3066.37"/>
    <n v="4"/>
    <n v="20099.030000000002"/>
    <s v="December"/>
    <n v="0.86763146761981236"/>
    <m/>
    <m/>
  </r>
  <r>
    <s v="ORD00564"/>
    <s v="2025-03-14"/>
    <x v="2"/>
    <x v="5"/>
    <s v="Electronics"/>
    <n v="14552.06"/>
    <n v="2278.61"/>
    <n v="6"/>
    <n v="12273.449999999999"/>
    <s v="March"/>
    <n v="0.84341667090432548"/>
    <m/>
    <m/>
  </r>
  <r>
    <s v="ORD00565"/>
    <s v="2025-12-23"/>
    <x v="3"/>
    <x v="3"/>
    <s v="Office Supplies"/>
    <n v="14539.63"/>
    <n v="3676"/>
    <n v="7"/>
    <n v="10863.63"/>
    <s v="December"/>
    <n v="0.74717375889207638"/>
    <m/>
    <m/>
  </r>
  <r>
    <s v="ORD00566"/>
    <s v="2025-10-02"/>
    <x v="1"/>
    <x v="3"/>
    <s v="Accessories"/>
    <n v="11555.25"/>
    <n v="2524.13"/>
    <n v="9"/>
    <n v="9031.119999999999"/>
    <s v="October"/>
    <n v="0.78155989701650752"/>
    <m/>
    <m/>
  </r>
  <r>
    <s v="ORD00567"/>
    <s v="2025-07-22"/>
    <x v="3"/>
    <x v="0"/>
    <s v="Office Supplies"/>
    <n v="9894.85"/>
    <n v="1695.83"/>
    <n v="20"/>
    <n v="8199.02"/>
    <s v="July"/>
    <n v="0.82861488552125606"/>
    <m/>
    <m/>
  </r>
  <r>
    <s v="ORD00568"/>
    <s v="2025-02-20"/>
    <x v="1"/>
    <x v="1"/>
    <s v="Accessories"/>
    <n v="35177.699999999997"/>
    <n v="5020.4799999999996"/>
    <n v="13"/>
    <n v="30157.219999999998"/>
    <s v="February"/>
    <n v="0.85728231237403241"/>
    <m/>
    <m/>
  </r>
  <r>
    <s v="ORD00569"/>
    <s v="2025-06-19"/>
    <x v="2"/>
    <x v="1"/>
    <s v="Electronics"/>
    <n v="46072.62"/>
    <n v="2873.99"/>
    <n v="1"/>
    <n v="43198.630000000005"/>
    <s v="June"/>
    <n v="0.93762043486999447"/>
    <m/>
    <m/>
  </r>
  <r>
    <s v="ORD00570"/>
    <s v="2025-06-01"/>
    <x v="3"/>
    <x v="2"/>
    <s v="Accessories"/>
    <n v="43875.23"/>
    <n v="9631.7199999999993"/>
    <n v="13"/>
    <n v="34243.51"/>
    <s v="June"/>
    <n v="0.78047476902115387"/>
    <m/>
    <m/>
  </r>
  <r>
    <s v="ORD00571"/>
    <s v="2025-10-27"/>
    <x v="3"/>
    <x v="5"/>
    <s v="Accessories"/>
    <n v="19911.849999999999"/>
    <n v="4309.2299999999996"/>
    <n v="8"/>
    <n v="15602.619999999999"/>
    <s v="October"/>
    <n v="0.7835846493419748"/>
    <m/>
    <m/>
  </r>
  <r>
    <s v="ORD00572"/>
    <s v="2025-06-10"/>
    <x v="0"/>
    <x v="4"/>
    <s v="Office Supplies"/>
    <n v="10691.85"/>
    <n v="1315.14"/>
    <n v="9"/>
    <n v="9376.7100000000009"/>
    <s v="June"/>
    <n v="0.87699602968616286"/>
    <m/>
    <m/>
  </r>
  <r>
    <s v="ORD00573"/>
    <s v="2025-05-14"/>
    <x v="2"/>
    <x v="4"/>
    <s v="Office Supplies"/>
    <n v="47520.44"/>
    <n v="12872.3"/>
    <n v="18"/>
    <n v="34648.14"/>
    <s v="May"/>
    <n v="0.72912077413424614"/>
    <m/>
    <m/>
  </r>
  <r>
    <s v="ORD00574"/>
    <s v="2025-01-29"/>
    <x v="2"/>
    <x v="1"/>
    <s v="Accessories"/>
    <n v="40400.42"/>
    <n v="7334.96"/>
    <n v="9"/>
    <n v="33065.46"/>
    <s v="January"/>
    <n v="0.81844347162727515"/>
    <m/>
    <m/>
  </r>
  <r>
    <s v="ORD00575"/>
    <s v="2025-06-27"/>
    <x v="0"/>
    <x v="2"/>
    <s v="Office Supplies"/>
    <n v="38152.239999999998"/>
    <n v="2394.5100000000002"/>
    <n v="17"/>
    <n v="35757.729999999996"/>
    <s v="June"/>
    <n v="0.93723802324581718"/>
    <m/>
    <m/>
  </r>
  <r>
    <s v="ORD00576"/>
    <s v="2025-01-20"/>
    <x v="3"/>
    <x v="2"/>
    <s v="Accessories"/>
    <n v="26275.18"/>
    <n v="4434.3500000000004"/>
    <n v="6"/>
    <n v="21840.83"/>
    <s v="January"/>
    <n v="0.83123426747219242"/>
    <m/>
    <m/>
  </r>
  <r>
    <s v="ORD00577"/>
    <s v="2025-04-26"/>
    <x v="0"/>
    <x v="0"/>
    <s v="Office Supplies"/>
    <n v="43370.96"/>
    <n v="3014.66"/>
    <n v="7"/>
    <n v="40356.300000000003"/>
    <s v="April"/>
    <n v="0.93049127803488796"/>
    <m/>
    <m/>
  </r>
  <r>
    <s v="ORD00578"/>
    <s v="2025-10-19"/>
    <x v="2"/>
    <x v="4"/>
    <s v="Office Supplies"/>
    <n v="9848.39"/>
    <n v="792.45"/>
    <n v="7"/>
    <n v="9055.9399999999987"/>
    <s v="October"/>
    <n v="0.91953507121468581"/>
    <m/>
    <m/>
  </r>
  <r>
    <s v="ORD00579"/>
    <s v="2025-07-27"/>
    <x v="2"/>
    <x v="1"/>
    <s v="Electronics"/>
    <n v="37425.17"/>
    <n v="4442.12"/>
    <n v="8"/>
    <n v="32983.049999999996"/>
    <s v="July"/>
    <n v="0.88130661797929033"/>
    <m/>
    <m/>
  </r>
  <r>
    <s v="ORD00580"/>
    <s v="2025-05-28"/>
    <x v="1"/>
    <x v="2"/>
    <s v="Electronics"/>
    <n v="23400.18"/>
    <n v="2338.84"/>
    <n v="6"/>
    <n v="21061.34"/>
    <s v="May"/>
    <n v="0.90005034149309959"/>
    <m/>
    <m/>
  </r>
  <r>
    <s v="ORD00581"/>
    <s v="2025-11-02"/>
    <x v="2"/>
    <x v="4"/>
    <s v="Electronics"/>
    <n v="23393.39"/>
    <n v="3377.65"/>
    <n v="4"/>
    <n v="20015.739999999998"/>
    <s v="November"/>
    <n v="0.85561519728436108"/>
    <m/>
    <m/>
  </r>
  <r>
    <s v="ORD00582"/>
    <s v="2025-11-26"/>
    <x v="0"/>
    <x v="2"/>
    <s v="Office Supplies"/>
    <n v="32845.199999999997"/>
    <n v="7427.29"/>
    <n v="19"/>
    <n v="25417.909999999996"/>
    <s v="November"/>
    <n v="0.77386985008463938"/>
    <m/>
    <m/>
  </r>
  <r>
    <s v="ORD00583"/>
    <s v="2025-09-16"/>
    <x v="0"/>
    <x v="3"/>
    <s v="Accessories"/>
    <n v="9697.74"/>
    <n v="1592.57"/>
    <n v="11"/>
    <n v="8105.17"/>
    <s v="September"/>
    <n v="0.83577926403471325"/>
    <m/>
    <m/>
  </r>
  <r>
    <s v="ORD00584"/>
    <s v="2025-05-01"/>
    <x v="2"/>
    <x v="2"/>
    <s v="Electronics"/>
    <n v="31312.84"/>
    <n v="7765.93"/>
    <n v="1"/>
    <n v="23546.91"/>
    <s v="May"/>
    <n v="0.75198896043923191"/>
    <m/>
    <m/>
  </r>
  <r>
    <s v="ORD00585"/>
    <s v="2025-05-03"/>
    <x v="0"/>
    <x v="3"/>
    <s v="Electronics"/>
    <n v="19556.34"/>
    <n v="5466.3"/>
    <n v="5"/>
    <n v="14090.04"/>
    <s v="May"/>
    <n v="0.72048450783735607"/>
    <m/>
    <m/>
  </r>
  <r>
    <s v="ORD00586"/>
    <s v="2025-02-25"/>
    <x v="0"/>
    <x v="2"/>
    <s v="Accessories"/>
    <n v="34685.96"/>
    <n v="2889.3"/>
    <n v="12"/>
    <n v="31796.66"/>
    <s v="February"/>
    <n v="0.91670116669684221"/>
    <m/>
    <m/>
  </r>
  <r>
    <s v="ORD00587"/>
    <s v="2025-06-10"/>
    <x v="2"/>
    <x v="0"/>
    <s v="Office Supplies"/>
    <n v="22059.15"/>
    <n v="2475.58"/>
    <n v="3"/>
    <n v="19583.57"/>
    <s v="June"/>
    <n v="0.88777536759122622"/>
    <m/>
    <m/>
  </r>
  <r>
    <s v="ORD00588"/>
    <s v="2025-03-14"/>
    <x v="2"/>
    <x v="2"/>
    <s v="Electronics"/>
    <n v="37533.040000000001"/>
    <n v="6175.11"/>
    <n v="18"/>
    <n v="31357.93"/>
    <s v="March"/>
    <n v="0.83547535717863508"/>
    <m/>
    <m/>
  </r>
  <r>
    <s v="ORD00589"/>
    <s v="2025-10-17"/>
    <x v="0"/>
    <x v="2"/>
    <s v="Electronics"/>
    <n v="40365.910000000003"/>
    <n v="3137.62"/>
    <n v="18"/>
    <n v="37228.29"/>
    <s v="October"/>
    <n v="0.92227054958007881"/>
    <m/>
    <m/>
  </r>
  <r>
    <s v="ORD00590"/>
    <s v="2025-06-30"/>
    <x v="1"/>
    <x v="4"/>
    <s v="Office Supplies"/>
    <n v="6412.11"/>
    <n v="1261.1099999999999"/>
    <n v="14"/>
    <n v="5151"/>
    <s v="June"/>
    <n v="0.80332371091575161"/>
    <m/>
    <m/>
  </r>
  <r>
    <s v="ORD00591"/>
    <s v="2025-11-01"/>
    <x v="1"/>
    <x v="2"/>
    <s v="Accessories"/>
    <n v="17577.66"/>
    <n v="2268.4899999999998"/>
    <n v="11"/>
    <n v="15309.17"/>
    <s v="November"/>
    <n v="0.87094471050185296"/>
    <m/>
    <m/>
  </r>
  <r>
    <s v="ORD00592"/>
    <s v="2025-10-31"/>
    <x v="1"/>
    <x v="3"/>
    <s v="Office Supplies"/>
    <n v="2775.22"/>
    <n v="339.74"/>
    <n v="8"/>
    <n v="2435.4799999999996"/>
    <s v="October"/>
    <n v="0.87758087647105443"/>
    <m/>
    <m/>
  </r>
  <r>
    <s v="ORD00593"/>
    <s v="2025-03-26"/>
    <x v="1"/>
    <x v="5"/>
    <s v="Accessories"/>
    <n v="20809.32"/>
    <n v="2924.74"/>
    <n v="8"/>
    <n v="17884.580000000002"/>
    <s v="March"/>
    <n v="0.85945047699780686"/>
    <m/>
    <m/>
  </r>
  <r>
    <s v="ORD00594"/>
    <s v="2025-02-04"/>
    <x v="0"/>
    <x v="0"/>
    <s v="Office Supplies"/>
    <n v="34638.160000000003"/>
    <n v="5902.8"/>
    <n v="2"/>
    <n v="28735.360000000004"/>
    <s v="February"/>
    <n v="0.82958679098427868"/>
    <m/>
    <m/>
  </r>
  <r>
    <s v="ORD00595"/>
    <s v="2025-03-18"/>
    <x v="1"/>
    <x v="0"/>
    <s v="Accessories"/>
    <n v="45165.56"/>
    <n v="4211.0600000000004"/>
    <n v="2"/>
    <n v="40954.5"/>
    <s v="March"/>
    <n v="0.90676391480588314"/>
    <m/>
    <m/>
  </r>
  <r>
    <s v="ORD00596"/>
    <s v="2025-01-02"/>
    <x v="0"/>
    <x v="3"/>
    <s v="Office Supplies"/>
    <n v="26525.87"/>
    <n v="7545.19"/>
    <n v="10"/>
    <n v="18980.68"/>
    <s v="January"/>
    <n v="0.71555353321116333"/>
    <m/>
    <m/>
  </r>
  <r>
    <s v="ORD00597"/>
    <s v="2025-08-20"/>
    <x v="3"/>
    <x v="3"/>
    <s v="Office Supplies"/>
    <n v="5086.8900000000003"/>
    <n v="452.45"/>
    <n v="7"/>
    <n v="4634.4400000000005"/>
    <s v="August"/>
    <n v="0.91105567448873481"/>
    <m/>
    <m/>
  </r>
  <r>
    <s v="ORD00598"/>
    <s v="2025-09-07"/>
    <x v="1"/>
    <x v="5"/>
    <s v="Office Supplies"/>
    <n v="5135.42"/>
    <n v="1049.1099999999999"/>
    <n v="5"/>
    <n v="4086.3100000000004"/>
    <s v="September"/>
    <n v="0.79571096424440457"/>
    <m/>
    <m/>
  </r>
  <r>
    <s v="ORD00599"/>
    <s v="2025-07-19"/>
    <x v="3"/>
    <x v="5"/>
    <s v="Accessories"/>
    <n v="43558.79"/>
    <n v="4980.07"/>
    <n v="8"/>
    <n v="38578.720000000001"/>
    <s v="July"/>
    <n v="0.88567014832138358"/>
    <m/>
    <m/>
  </r>
  <r>
    <s v="ORD00600"/>
    <s v="2025-07-09"/>
    <x v="1"/>
    <x v="3"/>
    <s v="Accessories"/>
    <n v="27665.360000000001"/>
    <n v="2278.42"/>
    <n v="18"/>
    <n v="25386.940000000002"/>
    <s v="July"/>
    <n v="0.91764358027511672"/>
    <m/>
    <m/>
  </r>
  <r>
    <s v="ORD00601"/>
    <s v="2025-12-26"/>
    <x v="3"/>
    <x v="0"/>
    <s v="Office Supplies"/>
    <n v="38764.79"/>
    <n v="5063.32"/>
    <n v="19"/>
    <n v="33701.47"/>
    <s v="December"/>
    <n v="0.86938353077625341"/>
    <m/>
    <m/>
  </r>
  <r>
    <s v="ORD00602"/>
    <s v="2025-11-06"/>
    <x v="3"/>
    <x v="4"/>
    <s v="Office Supplies"/>
    <n v="38143.660000000003"/>
    <n v="4406.0200000000004"/>
    <n v="19"/>
    <n v="33737.64"/>
    <s v="November"/>
    <n v="0.88448879840057293"/>
    <m/>
    <m/>
  </r>
  <r>
    <s v="ORD00603"/>
    <s v="2025-10-18"/>
    <x v="3"/>
    <x v="4"/>
    <s v="Office Supplies"/>
    <n v="11520.01"/>
    <n v="2865.49"/>
    <n v="3"/>
    <n v="8654.52"/>
    <s v="October"/>
    <n v="0.75125976453145438"/>
    <m/>
    <m/>
  </r>
  <r>
    <s v="ORD00604"/>
    <s v="2026-01-01"/>
    <x v="3"/>
    <x v="3"/>
    <s v="Electronics"/>
    <n v="37834.660000000003"/>
    <n v="9661.7800000000007"/>
    <n v="19"/>
    <n v="28172.880000000005"/>
    <s v="January"/>
    <n v="0.74463150983780491"/>
    <m/>
    <m/>
  </r>
  <r>
    <s v="ORD00605"/>
    <s v="2025-08-02"/>
    <x v="0"/>
    <x v="0"/>
    <s v="Electronics"/>
    <n v="6152.69"/>
    <n v="587.75"/>
    <n v="1"/>
    <n v="5564.94"/>
    <s v="August"/>
    <n v="0.90447267780434248"/>
    <m/>
    <m/>
  </r>
  <r>
    <s v="ORD00606"/>
    <s v="2025-06-13"/>
    <x v="2"/>
    <x v="3"/>
    <s v="Accessories"/>
    <n v="17618.89"/>
    <n v="2004.91"/>
    <n v="6"/>
    <n v="15613.98"/>
    <s v="June"/>
    <n v="0.88620679282293036"/>
    <m/>
    <m/>
  </r>
  <r>
    <s v="ORD00607"/>
    <s v="2025-02-04"/>
    <x v="1"/>
    <x v="4"/>
    <s v="Electronics"/>
    <n v="36664.120000000003"/>
    <n v="5188.91"/>
    <n v="5"/>
    <n v="31475.210000000003"/>
    <s v="February"/>
    <n v="0.85847444313405041"/>
    <m/>
    <m/>
  </r>
  <r>
    <s v="ORD00608"/>
    <s v="2025-08-20"/>
    <x v="2"/>
    <x v="5"/>
    <s v="Electronics"/>
    <n v="19170.87"/>
    <n v="5566.17"/>
    <n v="4"/>
    <n v="13604.699999999999"/>
    <s v="August"/>
    <n v="0.70965480439854844"/>
    <m/>
    <m/>
  </r>
  <r>
    <s v="ORD00609"/>
    <s v="2025-09-26"/>
    <x v="2"/>
    <x v="5"/>
    <s v="Accessories"/>
    <n v="38225.03"/>
    <n v="7074.75"/>
    <n v="18"/>
    <n v="31150.28"/>
    <s v="September"/>
    <n v="0.81491839247738984"/>
    <m/>
    <m/>
  </r>
  <r>
    <s v="ORD00610"/>
    <s v="2025-03-28"/>
    <x v="2"/>
    <x v="3"/>
    <s v="Accessories"/>
    <n v="16928.919999999998"/>
    <n v="2508.71"/>
    <n v="15"/>
    <n v="14420.21"/>
    <s v="March"/>
    <n v="0.85180921169218127"/>
    <m/>
    <m/>
  </r>
  <r>
    <s v="ORD00611"/>
    <s v="2025-11-13"/>
    <x v="1"/>
    <x v="3"/>
    <s v="Electronics"/>
    <n v="17480.53"/>
    <n v="2615.0500000000002"/>
    <n v="14"/>
    <n v="14865.48"/>
    <s v="November"/>
    <n v="0.85040213311610124"/>
    <m/>
    <m/>
  </r>
  <r>
    <s v="ORD00612"/>
    <s v="2025-05-23"/>
    <x v="1"/>
    <x v="2"/>
    <s v="Office Supplies"/>
    <n v="47445.49"/>
    <n v="9688.16"/>
    <n v="1"/>
    <n v="37757.33"/>
    <s v="May"/>
    <n v="0.79580440627760407"/>
    <m/>
    <m/>
  </r>
  <r>
    <s v="ORD00613"/>
    <s v="2025-04-22"/>
    <x v="0"/>
    <x v="2"/>
    <s v="Office Supplies"/>
    <n v="35061.25"/>
    <n v="6705.49"/>
    <n v="2"/>
    <n v="28355.760000000002"/>
    <s v="April"/>
    <n v="0.80874926022318094"/>
    <m/>
    <m/>
  </r>
  <r>
    <s v="ORD00614"/>
    <s v="2025-06-02"/>
    <x v="3"/>
    <x v="1"/>
    <s v="Electronics"/>
    <n v="49767.02"/>
    <n v="10414.879999999999"/>
    <n v="12"/>
    <n v="39352.14"/>
    <s v="June"/>
    <n v="0.7907272728003405"/>
    <m/>
    <m/>
  </r>
  <r>
    <s v="ORD00615"/>
    <s v="2025-04-13"/>
    <x v="3"/>
    <x v="0"/>
    <s v="Office Supplies"/>
    <n v="29439.45"/>
    <n v="6446.34"/>
    <n v="17"/>
    <n v="22993.11"/>
    <s v="April"/>
    <n v="0.78103055593769588"/>
    <m/>
    <m/>
  </r>
  <r>
    <s v="ORD00616"/>
    <s v="2025-10-08"/>
    <x v="0"/>
    <x v="2"/>
    <s v="Accessories"/>
    <n v="26487.439999999999"/>
    <n v="7764.34"/>
    <n v="18"/>
    <n v="18723.099999999999"/>
    <s v="October"/>
    <n v="0.70686710380467122"/>
    <m/>
    <m/>
  </r>
  <r>
    <s v="ORD00617"/>
    <s v="2025-04-09"/>
    <x v="1"/>
    <x v="2"/>
    <s v="Accessories"/>
    <n v="36409.279999999999"/>
    <n v="8364.27"/>
    <n v="14"/>
    <n v="28045.01"/>
    <s v="April"/>
    <n v="0.77027093092749976"/>
    <m/>
    <m/>
  </r>
  <r>
    <s v="ORD00618"/>
    <s v="2025-09-13"/>
    <x v="2"/>
    <x v="1"/>
    <s v="Electronics"/>
    <n v="41965.89"/>
    <n v="9913.7900000000009"/>
    <n v="5"/>
    <n v="32052.1"/>
    <s v="September"/>
    <n v="0.76376552481074511"/>
    <m/>
    <m/>
  </r>
  <r>
    <s v="ORD00619"/>
    <s v="2025-05-09"/>
    <x v="2"/>
    <x v="3"/>
    <s v="Accessories"/>
    <n v="35524.25"/>
    <n v="1884.41"/>
    <n v="18"/>
    <n v="33639.839999999997"/>
    <s v="May"/>
    <n v="0.94695426363681134"/>
    <m/>
    <m/>
  </r>
  <r>
    <s v="ORD00620"/>
    <s v="2025-04-12"/>
    <x v="1"/>
    <x v="4"/>
    <s v="Accessories"/>
    <n v="6069.71"/>
    <n v="1552.04"/>
    <n v="9"/>
    <n v="4517.67"/>
    <s v="April"/>
    <n v="0.74429750350510981"/>
    <m/>
    <m/>
  </r>
  <r>
    <s v="ORD00621"/>
    <s v="2025-04-12"/>
    <x v="3"/>
    <x v="3"/>
    <s v="Office Supplies"/>
    <n v="1112.67"/>
    <n v="124.5"/>
    <n v="16"/>
    <n v="988.17000000000007"/>
    <s v="April"/>
    <n v="0.88810698589878401"/>
    <m/>
    <m/>
  </r>
  <r>
    <s v="ORD00622"/>
    <s v="2025-02-18"/>
    <x v="2"/>
    <x v="0"/>
    <s v="Electronics"/>
    <n v="33391.480000000003"/>
    <n v="8147.85"/>
    <n v="10"/>
    <n v="25243.630000000005"/>
    <s v="February"/>
    <n v="0.75599015078097775"/>
    <m/>
    <m/>
  </r>
  <r>
    <s v="ORD00623"/>
    <s v="2025-10-09"/>
    <x v="0"/>
    <x v="4"/>
    <s v="Accessories"/>
    <n v="33111.32"/>
    <n v="7635.24"/>
    <n v="15"/>
    <n v="25476.080000000002"/>
    <s v="October"/>
    <n v="0.76940695810375426"/>
    <m/>
    <m/>
  </r>
  <r>
    <s v="ORD00624"/>
    <s v="2025-09-12"/>
    <x v="0"/>
    <x v="3"/>
    <s v="Electronics"/>
    <n v="17573.89"/>
    <n v="3810.62"/>
    <n v="1"/>
    <n v="13763.27"/>
    <s v="September"/>
    <n v="0.78316582156824699"/>
    <m/>
    <m/>
  </r>
  <r>
    <s v="ORD00625"/>
    <s v="2025-05-15"/>
    <x v="1"/>
    <x v="5"/>
    <s v="Electronics"/>
    <n v="19059.73"/>
    <n v="4259.3"/>
    <n v="19"/>
    <n v="14800.43"/>
    <s v="May"/>
    <n v="0.77652883855122823"/>
    <m/>
    <m/>
  </r>
  <r>
    <s v="ORD00626"/>
    <s v="2025-03-24"/>
    <x v="2"/>
    <x v="3"/>
    <s v="Electronics"/>
    <n v="48100.61"/>
    <n v="8982.0400000000009"/>
    <n v="12"/>
    <n v="39118.57"/>
    <s v="March"/>
    <n v="0.81326556981293996"/>
    <m/>
    <m/>
  </r>
  <r>
    <s v="ORD00627"/>
    <s v="2025-02-17"/>
    <x v="0"/>
    <x v="1"/>
    <s v="Accessories"/>
    <n v="17101.400000000001"/>
    <n v="1825.23"/>
    <n v="6"/>
    <n v="15276.170000000002"/>
    <s v="February"/>
    <n v="0.89327014162583185"/>
    <m/>
    <m/>
  </r>
  <r>
    <s v="ORD00628"/>
    <s v="2025-12-04"/>
    <x v="0"/>
    <x v="5"/>
    <s v="Office Supplies"/>
    <n v="29158.68"/>
    <n v="6151.58"/>
    <n v="8"/>
    <n v="23007.1"/>
    <s v="December"/>
    <n v="0.78903091635149458"/>
    <m/>
    <m/>
  </r>
  <r>
    <s v="ORD00629"/>
    <s v="2025-01-08"/>
    <x v="0"/>
    <x v="3"/>
    <s v="Accessories"/>
    <n v="13783.73"/>
    <n v="2668.31"/>
    <n v="5"/>
    <n v="11115.42"/>
    <s v="January"/>
    <n v="0.80641597013290311"/>
    <m/>
    <m/>
  </r>
  <r>
    <s v="ORD00630"/>
    <s v="2025-03-04"/>
    <x v="0"/>
    <x v="0"/>
    <s v="Electronics"/>
    <n v="42827.24"/>
    <n v="5653.91"/>
    <n v="13"/>
    <n v="37173.33"/>
    <s v="March"/>
    <n v="0.86798332089576646"/>
    <m/>
    <m/>
  </r>
  <r>
    <s v="ORD00631"/>
    <s v="2025-01-14"/>
    <x v="1"/>
    <x v="4"/>
    <s v="Accessories"/>
    <n v="3492.92"/>
    <n v="776.73"/>
    <n v="7"/>
    <n v="2716.19"/>
    <s v="January"/>
    <n v="0.77762731468227153"/>
    <m/>
    <m/>
  </r>
  <r>
    <s v="ORD00632"/>
    <s v="2025-08-30"/>
    <x v="3"/>
    <x v="1"/>
    <s v="Electronics"/>
    <n v="48085.18"/>
    <n v="5033.8599999999997"/>
    <n v="6"/>
    <n v="43051.32"/>
    <s v="August"/>
    <n v="0.89531369124541071"/>
    <m/>
    <m/>
  </r>
  <r>
    <s v="ORD00633"/>
    <s v="2025-08-07"/>
    <x v="2"/>
    <x v="0"/>
    <s v="Office Supplies"/>
    <n v="9046.08"/>
    <n v="1773"/>
    <n v="7"/>
    <n v="7273.08"/>
    <s v="August"/>
    <n v="0.80400350206940463"/>
    <m/>
    <m/>
  </r>
  <r>
    <s v="ORD00634"/>
    <s v="2025-09-22"/>
    <x v="0"/>
    <x v="4"/>
    <s v="Accessories"/>
    <n v="11335.69"/>
    <n v="1638.55"/>
    <n v="15"/>
    <n v="9697.1400000000012"/>
    <s v="September"/>
    <n v="0.85545211628052642"/>
    <m/>
    <m/>
  </r>
  <r>
    <s v="ORD00635"/>
    <s v="2025-06-23"/>
    <x v="0"/>
    <x v="0"/>
    <s v="Electronics"/>
    <n v="45596.23"/>
    <n v="2734.08"/>
    <n v="16"/>
    <n v="42862.15"/>
    <s v="June"/>
    <n v="0.94003714780805336"/>
    <m/>
    <m/>
  </r>
  <r>
    <s v="ORD00636"/>
    <s v="2025-03-16"/>
    <x v="1"/>
    <x v="4"/>
    <s v="Electronics"/>
    <n v="47947.41"/>
    <n v="10007.709999999999"/>
    <n v="8"/>
    <n v="37939.700000000004"/>
    <s v="March"/>
    <n v="0.79127735992413362"/>
    <m/>
    <m/>
  </r>
  <r>
    <s v="ORD00637"/>
    <s v="2025-07-27"/>
    <x v="0"/>
    <x v="1"/>
    <s v="Accessories"/>
    <n v="25542.41"/>
    <n v="5470.38"/>
    <n v="12"/>
    <n v="20072.03"/>
    <s v="July"/>
    <n v="0.78583148575251904"/>
    <m/>
    <m/>
  </r>
  <r>
    <s v="ORD00638"/>
    <s v="2025-10-28"/>
    <x v="0"/>
    <x v="2"/>
    <s v="Office Supplies"/>
    <n v="15934.83"/>
    <n v="4700.62"/>
    <n v="20"/>
    <n v="11234.21"/>
    <s v="October"/>
    <n v="0.70500971770643295"/>
    <m/>
    <m/>
  </r>
  <r>
    <s v="ORD00639"/>
    <s v="2025-06-30"/>
    <x v="2"/>
    <x v="4"/>
    <s v="Accessories"/>
    <n v="47038.720000000001"/>
    <n v="10280.68"/>
    <n v="18"/>
    <n v="36758.04"/>
    <s v="June"/>
    <n v="0.78144218210019323"/>
    <m/>
    <m/>
  </r>
  <r>
    <s v="ORD00640"/>
    <s v="2025-09-06"/>
    <x v="0"/>
    <x v="1"/>
    <s v="Office Supplies"/>
    <n v="38466.06"/>
    <n v="8805.07"/>
    <n v="20"/>
    <n v="29660.989999999998"/>
    <s v="September"/>
    <n v="0.77109509006121235"/>
    <m/>
    <m/>
  </r>
  <r>
    <s v="ORD00641"/>
    <s v="2025-12-17"/>
    <x v="2"/>
    <x v="4"/>
    <s v="Electronics"/>
    <n v="20628.169999999998"/>
    <n v="4306.05"/>
    <n v="13"/>
    <n v="16322.119999999999"/>
    <s v="December"/>
    <n v="0.7912539018245438"/>
    <m/>
    <m/>
  </r>
  <r>
    <s v="ORD00642"/>
    <s v="2025-07-10"/>
    <x v="0"/>
    <x v="3"/>
    <s v="Office Supplies"/>
    <n v="18567.740000000002"/>
    <n v="1325.56"/>
    <n v="13"/>
    <n v="17242.18"/>
    <s v="July"/>
    <n v="0.92860951305867057"/>
    <m/>
    <m/>
  </r>
  <r>
    <s v="ORD00643"/>
    <s v="2025-09-28"/>
    <x v="3"/>
    <x v="0"/>
    <s v="Office Supplies"/>
    <n v="43626.64"/>
    <n v="12117.9"/>
    <n v="16"/>
    <n v="31508.739999999998"/>
    <s v="September"/>
    <n v="0.72223622997324566"/>
    <m/>
    <m/>
  </r>
  <r>
    <s v="ORD00644"/>
    <s v="2025-06-20"/>
    <x v="2"/>
    <x v="3"/>
    <s v="Electronics"/>
    <n v="27930.76"/>
    <n v="5113.8999999999996"/>
    <n v="20"/>
    <n v="22816.86"/>
    <s v="June"/>
    <n v="0.81690795381149683"/>
    <m/>
    <m/>
  </r>
  <r>
    <s v="ORD00645"/>
    <s v="2025-11-23"/>
    <x v="3"/>
    <x v="1"/>
    <s v="Electronics"/>
    <n v="35894.31"/>
    <n v="9008.9599999999991"/>
    <n v="6"/>
    <n v="26885.35"/>
    <s v="November"/>
    <n v="0.74901425880592221"/>
    <m/>
    <m/>
  </r>
  <r>
    <s v="ORD00646"/>
    <s v="2025-02-26"/>
    <x v="0"/>
    <x v="5"/>
    <s v="Electronics"/>
    <n v="16165.67"/>
    <n v="1946.65"/>
    <n v="20"/>
    <n v="14219.02"/>
    <s v="February"/>
    <n v="0.87958123603908778"/>
    <m/>
    <m/>
  </r>
  <r>
    <s v="ORD00647"/>
    <s v="2025-04-10"/>
    <x v="2"/>
    <x v="1"/>
    <s v="Office Supplies"/>
    <n v="9263.2800000000007"/>
    <n v="2132.31"/>
    <n v="16"/>
    <n v="7130.9700000000012"/>
    <s v="April"/>
    <n v="0.76981047749825127"/>
    <m/>
    <m/>
  </r>
  <r>
    <s v="ORD00648"/>
    <s v="2025-11-29"/>
    <x v="1"/>
    <x v="4"/>
    <s v="Electronics"/>
    <n v="39628.86"/>
    <n v="11340.02"/>
    <n v="11"/>
    <n v="28288.84"/>
    <s v="November"/>
    <n v="0.7138444053147126"/>
    <m/>
    <m/>
  </r>
  <r>
    <s v="ORD00649"/>
    <s v="2025-11-01"/>
    <x v="0"/>
    <x v="4"/>
    <s v="Office Supplies"/>
    <n v="1901.76"/>
    <n v="307.99"/>
    <n v="9"/>
    <n v="1593.77"/>
    <s v="November"/>
    <n v="0.83805001682651858"/>
    <m/>
    <m/>
  </r>
  <r>
    <s v="ORD00650"/>
    <s v="2025-09-12"/>
    <x v="0"/>
    <x v="3"/>
    <s v="Accessories"/>
    <n v="22328.959999999999"/>
    <n v="2876.88"/>
    <n v="2"/>
    <n v="19452.079999999998"/>
    <s v="September"/>
    <n v="0.87115924790048438"/>
    <m/>
    <m/>
  </r>
  <r>
    <s v="ORD00651"/>
    <s v="2025-12-24"/>
    <x v="1"/>
    <x v="0"/>
    <s v="Office Supplies"/>
    <n v="6981.53"/>
    <n v="1286.53"/>
    <n v="4"/>
    <n v="5695"/>
    <s v="December"/>
    <n v="0.81572377401515139"/>
    <m/>
    <m/>
  </r>
  <r>
    <s v="ORD00652"/>
    <s v="2025-11-01"/>
    <x v="1"/>
    <x v="5"/>
    <s v="Office Supplies"/>
    <n v="5201.37"/>
    <n v="1422.6"/>
    <n v="15"/>
    <n v="3778.77"/>
    <s v="November"/>
    <n v="0.72649513493560347"/>
    <m/>
    <m/>
  </r>
  <r>
    <s v="ORD00653"/>
    <s v="2025-09-13"/>
    <x v="3"/>
    <x v="4"/>
    <s v="Electronics"/>
    <n v="26977.57"/>
    <n v="3605.8"/>
    <n v="10"/>
    <n v="23371.77"/>
    <s v="September"/>
    <n v="0.86634081572209809"/>
    <m/>
    <m/>
  </r>
  <r>
    <s v="ORD00654"/>
    <s v="2025-07-09"/>
    <x v="2"/>
    <x v="4"/>
    <s v="Office Supplies"/>
    <n v="28417.89"/>
    <n v="8143"/>
    <n v="11"/>
    <n v="20274.89"/>
    <s v="July"/>
    <n v="0.71345515096300249"/>
    <m/>
    <m/>
  </r>
  <r>
    <s v="ORD00655"/>
    <s v="2025-08-05"/>
    <x v="0"/>
    <x v="0"/>
    <s v="Accessories"/>
    <n v="17313.240000000002"/>
    <n v="1231.6500000000001"/>
    <n v="9"/>
    <n v="16081.590000000002"/>
    <s v="August"/>
    <n v="0.9288608024841104"/>
    <m/>
    <m/>
  </r>
  <r>
    <s v="ORD00656"/>
    <s v="2025-03-24"/>
    <x v="3"/>
    <x v="5"/>
    <s v="Office Supplies"/>
    <n v="39503.64"/>
    <n v="5193.6499999999996"/>
    <n v="2"/>
    <n v="34309.99"/>
    <s v="March"/>
    <n v="0.86852730533186306"/>
    <m/>
    <m/>
  </r>
  <r>
    <s v="ORD00657"/>
    <s v="2025-04-27"/>
    <x v="1"/>
    <x v="1"/>
    <s v="Office Supplies"/>
    <n v="31319.94"/>
    <n v="3077.2"/>
    <n v="15"/>
    <n v="28242.739999999998"/>
    <s v="April"/>
    <n v="0.90174949249583491"/>
    <m/>
    <m/>
  </r>
  <r>
    <s v="ORD00658"/>
    <s v="2025-03-09"/>
    <x v="3"/>
    <x v="1"/>
    <s v="Office Supplies"/>
    <n v="1317.35"/>
    <n v="218.17"/>
    <n v="20"/>
    <n v="1099.1799999999998"/>
    <s v="March"/>
    <n v="0.83438721676092154"/>
    <m/>
    <m/>
  </r>
  <r>
    <s v="ORD00659"/>
    <s v="2025-11-13"/>
    <x v="2"/>
    <x v="3"/>
    <s v="Office Supplies"/>
    <n v="996.34"/>
    <n v="298.70999999999998"/>
    <n v="15"/>
    <n v="697.63000000000011"/>
    <s v="November"/>
    <n v="0.70019270530140321"/>
    <m/>
    <m/>
  </r>
  <r>
    <s v="ORD00660"/>
    <s v="2025-02-04"/>
    <x v="0"/>
    <x v="0"/>
    <s v="Accessories"/>
    <n v="18528.86"/>
    <n v="4012.22"/>
    <n v="8"/>
    <n v="14516.640000000001"/>
    <s v="February"/>
    <n v="0.7834610440145805"/>
    <m/>
    <m/>
  </r>
  <r>
    <s v="ORD00661"/>
    <s v="2025-06-09"/>
    <x v="2"/>
    <x v="3"/>
    <s v="Electronics"/>
    <n v="31506.9"/>
    <n v="8826"/>
    <n v="5"/>
    <n v="22680.9"/>
    <s v="June"/>
    <n v="0.71987088542509736"/>
    <m/>
    <m/>
  </r>
  <r>
    <s v="ORD00662"/>
    <s v="2025-01-01"/>
    <x v="3"/>
    <x v="1"/>
    <s v="Accessories"/>
    <n v="44462.9"/>
    <n v="11003.62"/>
    <n v="8"/>
    <n v="33459.279999999999"/>
    <s v="January"/>
    <n v="0.7525213155237287"/>
    <m/>
    <m/>
  </r>
  <r>
    <s v="ORD00663"/>
    <s v="2025-05-03"/>
    <x v="1"/>
    <x v="2"/>
    <s v="Office Supplies"/>
    <n v="14932.52"/>
    <n v="3079.09"/>
    <n v="1"/>
    <n v="11853.43"/>
    <s v="May"/>
    <n v="0.79379970694832491"/>
    <m/>
    <m/>
  </r>
  <r>
    <s v="ORD00664"/>
    <s v="2025-08-12"/>
    <x v="1"/>
    <x v="2"/>
    <s v="Office Supplies"/>
    <n v="7667.46"/>
    <n v="773.15"/>
    <n v="1"/>
    <n v="6894.31"/>
    <s v="August"/>
    <n v="0.89916478207907191"/>
    <m/>
    <m/>
  </r>
  <r>
    <s v="ORD00665"/>
    <s v="2025-05-12"/>
    <x v="3"/>
    <x v="3"/>
    <s v="Accessories"/>
    <n v="38004.1"/>
    <n v="5090.18"/>
    <n v="6"/>
    <n v="32913.919999999998"/>
    <s v="May"/>
    <n v="0.86606234590478393"/>
    <m/>
    <m/>
  </r>
  <r>
    <s v="ORD00666"/>
    <s v="2025-12-23"/>
    <x v="3"/>
    <x v="2"/>
    <s v="Electronics"/>
    <n v="35561.51"/>
    <n v="6962.86"/>
    <n v="7"/>
    <n v="28598.65"/>
    <s v="December"/>
    <n v="0.80420235248728189"/>
    <m/>
    <m/>
  </r>
  <r>
    <s v="ORD00667"/>
    <s v="2025-08-02"/>
    <x v="2"/>
    <x v="3"/>
    <s v="Electronics"/>
    <n v="19851.400000000001"/>
    <n v="1276.04"/>
    <n v="15"/>
    <n v="18575.36"/>
    <s v="August"/>
    <n v="0.935720402591253"/>
    <m/>
    <m/>
  </r>
  <r>
    <s v="ORD00668"/>
    <s v="2025-02-22"/>
    <x v="3"/>
    <x v="5"/>
    <s v="Electronics"/>
    <n v="49405.33"/>
    <n v="9883.51"/>
    <n v="10"/>
    <n v="39521.82"/>
    <s v="February"/>
    <n v="0.79995053165316365"/>
    <m/>
    <m/>
  </r>
  <r>
    <s v="ORD00669"/>
    <s v="2025-07-06"/>
    <x v="1"/>
    <x v="0"/>
    <s v="Office Supplies"/>
    <n v="12690.36"/>
    <n v="2819.65"/>
    <n v="15"/>
    <n v="9870.7100000000009"/>
    <s v="July"/>
    <n v="0.77781166176530847"/>
    <m/>
    <m/>
  </r>
  <r>
    <s v="ORD00670"/>
    <s v="2025-04-04"/>
    <x v="3"/>
    <x v="4"/>
    <s v="Office Supplies"/>
    <n v="47241.89"/>
    <n v="12240.96"/>
    <n v="13"/>
    <n v="35000.93"/>
    <s v="April"/>
    <n v="0.74088758938306665"/>
    <m/>
    <m/>
  </r>
  <r>
    <s v="ORD00671"/>
    <s v="2025-08-30"/>
    <x v="1"/>
    <x v="2"/>
    <s v="Accessories"/>
    <n v="38664.800000000003"/>
    <n v="9817.4"/>
    <n v="5"/>
    <n v="28847.4"/>
    <s v="August"/>
    <n v="0.74608946638803253"/>
    <m/>
    <m/>
  </r>
  <r>
    <s v="ORD00672"/>
    <s v="2025-06-02"/>
    <x v="2"/>
    <x v="1"/>
    <s v="Office Supplies"/>
    <n v="9443.32"/>
    <n v="1537.64"/>
    <n v="4"/>
    <n v="7905.6799999999994"/>
    <s v="June"/>
    <n v="0.8371716726744407"/>
    <m/>
    <m/>
  </r>
  <r>
    <s v="ORD00673"/>
    <s v="2025-08-08"/>
    <x v="3"/>
    <x v="5"/>
    <s v="Office Supplies"/>
    <n v="49087.99"/>
    <n v="13526.61"/>
    <n v="1"/>
    <n v="35561.379999999997"/>
    <s v="August"/>
    <n v="0.7244415589230685"/>
    <m/>
    <m/>
  </r>
  <r>
    <s v="ORD00674"/>
    <s v="2025-11-15"/>
    <x v="2"/>
    <x v="4"/>
    <s v="Office Supplies"/>
    <n v="17943.009999999998"/>
    <n v="3215.89"/>
    <n v="2"/>
    <n v="14727.119999999999"/>
    <s v="November"/>
    <n v="0.8207719886462751"/>
    <m/>
    <m/>
  </r>
  <r>
    <s v="ORD00675"/>
    <s v="2025-04-30"/>
    <x v="2"/>
    <x v="4"/>
    <s v="Office Supplies"/>
    <n v="37596.769999999997"/>
    <n v="2367.54"/>
    <n v="20"/>
    <n v="35229.229999999996"/>
    <s v="April"/>
    <n v="0.93702810108421541"/>
    <m/>
    <m/>
  </r>
  <r>
    <s v="ORD00676"/>
    <s v="2025-09-10"/>
    <x v="3"/>
    <x v="4"/>
    <s v="Office Supplies"/>
    <n v="15499.28"/>
    <n v="2921.32"/>
    <n v="18"/>
    <n v="12577.960000000001"/>
    <s v="September"/>
    <n v="0.81151898668841393"/>
    <m/>
    <m/>
  </r>
  <r>
    <s v="ORD00677"/>
    <s v="2025-06-19"/>
    <x v="2"/>
    <x v="5"/>
    <s v="Accessories"/>
    <n v="2414.27"/>
    <n v="181.61"/>
    <n v="6"/>
    <n v="2232.66"/>
    <s v="June"/>
    <n v="0.92477643345607574"/>
    <m/>
    <m/>
  </r>
  <r>
    <s v="ORD00678"/>
    <s v="2025-06-08"/>
    <x v="2"/>
    <x v="5"/>
    <s v="Accessories"/>
    <n v="11238.04"/>
    <n v="603.03"/>
    <n v="14"/>
    <n v="10635.01"/>
    <s v="June"/>
    <n v="0.94634028709632634"/>
    <m/>
    <m/>
  </r>
  <r>
    <s v="ORD00679"/>
    <s v="2025-06-08"/>
    <x v="3"/>
    <x v="3"/>
    <s v="Electronics"/>
    <n v="35493.269999999997"/>
    <n v="3265.28"/>
    <n v="18"/>
    <n v="32227.989999999998"/>
    <s v="June"/>
    <n v="0.90800284110198926"/>
    <m/>
    <m/>
  </r>
  <r>
    <s v="ORD00680"/>
    <s v="2025-04-18"/>
    <x v="0"/>
    <x v="4"/>
    <s v="Accessories"/>
    <n v="17397.07"/>
    <n v="2646.13"/>
    <n v="20"/>
    <n v="14750.939999999999"/>
    <s v="April"/>
    <n v="0.84789795063191664"/>
    <m/>
    <m/>
  </r>
  <r>
    <s v="ORD00681"/>
    <s v="2025-01-30"/>
    <x v="2"/>
    <x v="0"/>
    <s v="Office Supplies"/>
    <n v="23520.73"/>
    <n v="4296.7"/>
    <n v="20"/>
    <n v="19224.03"/>
    <s v="January"/>
    <n v="0.81732284669736011"/>
    <m/>
    <m/>
  </r>
  <r>
    <s v="ORD00682"/>
    <s v="2025-07-24"/>
    <x v="0"/>
    <x v="4"/>
    <s v="Office Supplies"/>
    <n v="1934.8"/>
    <n v="238.82"/>
    <n v="6"/>
    <n v="1695.98"/>
    <s v="July"/>
    <n v="0.87656605333884641"/>
    <m/>
    <m/>
  </r>
  <r>
    <s v="ORD00683"/>
    <s v="2025-03-24"/>
    <x v="1"/>
    <x v="1"/>
    <s v="Electronics"/>
    <n v="27939.4"/>
    <n v="4574.8500000000004"/>
    <n v="11"/>
    <n v="23364.550000000003"/>
    <s v="March"/>
    <n v="0.83625811577915066"/>
    <m/>
    <m/>
  </r>
  <r>
    <s v="ORD00684"/>
    <s v="2025-11-20"/>
    <x v="2"/>
    <x v="0"/>
    <s v="Office Supplies"/>
    <n v="26975.89"/>
    <n v="1505.8"/>
    <n v="14"/>
    <n v="25470.09"/>
    <s v="November"/>
    <n v="0.94417978424437532"/>
    <m/>
    <m/>
  </r>
  <r>
    <s v="ORD00685"/>
    <s v="2025-12-27"/>
    <x v="0"/>
    <x v="1"/>
    <s v="Electronics"/>
    <n v="8552.0300000000007"/>
    <n v="2522.88"/>
    <n v="1"/>
    <n v="6029.1500000000005"/>
    <s v="December"/>
    <n v="0.70499635758995238"/>
    <m/>
    <m/>
  </r>
  <r>
    <s v="ORD00686"/>
    <s v="2025-03-14"/>
    <x v="2"/>
    <x v="1"/>
    <s v="Accessories"/>
    <n v="27324.03"/>
    <n v="1669.22"/>
    <n v="3"/>
    <n v="25654.809999999998"/>
    <s v="March"/>
    <n v="0.93891018272194837"/>
    <m/>
    <m/>
  </r>
  <r>
    <s v="ORD00687"/>
    <s v="2025-10-20"/>
    <x v="3"/>
    <x v="5"/>
    <s v="Accessories"/>
    <n v="2373.77"/>
    <n v="629.64"/>
    <n v="13"/>
    <n v="1744.13"/>
    <s v="October"/>
    <n v="0.73475105001748275"/>
    <m/>
    <m/>
  </r>
  <r>
    <s v="ORD00688"/>
    <s v="2025-08-14"/>
    <x v="0"/>
    <x v="3"/>
    <s v="Office Supplies"/>
    <n v="7299.4"/>
    <n v="1514.77"/>
    <n v="20"/>
    <n v="5784.6299999999992"/>
    <s v="August"/>
    <n v="0.79248020385237139"/>
    <m/>
    <m/>
  </r>
  <r>
    <s v="ORD00689"/>
    <s v="2025-09-12"/>
    <x v="2"/>
    <x v="2"/>
    <s v="Accessories"/>
    <n v="27223.31"/>
    <n v="7717.59"/>
    <n v="10"/>
    <n v="19505.72"/>
    <s v="September"/>
    <n v="0.71650802198557051"/>
    <m/>
    <m/>
  </r>
  <r>
    <s v="ORD00690"/>
    <s v="2025-12-04"/>
    <x v="3"/>
    <x v="5"/>
    <s v="Office Supplies"/>
    <n v="16223.42"/>
    <n v="3441.66"/>
    <n v="20"/>
    <n v="12781.76"/>
    <s v="December"/>
    <n v="0.78785854030777724"/>
    <m/>
    <m/>
  </r>
  <r>
    <s v="ORD00691"/>
    <s v="2025-01-06"/>
    <x v="3"/>
    <x v="5"/>
    <s v="Electronics"/>
    <n v="33870.050000000003"/>
    <n v="4105.92"/>
    <n v="8"/>
    <n v="29764.130000000005"/>
    <s v="January"/>
    <n v="0.87877431536121153"/>
    <m/>
    <m/>
  </r>
  <r>
    <s v="ORD00692"/>
    <s v="2025-10-08"/>
    <x v="0"/>
    <x v="3"/>
    <s v="Electronics"/>
    <n v="14295.54"/>
    <n v="4043.19"/>
    <n v="7"/>
    <n v="10252.35"/>
    <s v="October"/>
    <n v="0.71717122962826163"/>
    <m/>
    <m/>
  </r>
  <r>
    <s v="ORD00693"/>
    <s v="2025-08-09"/>
    <x v="3"/>
    <x v="5"/>
    <s v="Accessories"/>
    <n v="7553.46"/>
    <n v="754.59"/>
    <n v="15"/>
    <n v="6798.87"/>
    <s v="August"/>
    <n v="0.90010008658283747"/>
    <m/>
    <m/>
  </r>
  <r>
    <s v="ORD00694"/>
    <s v="2025-01-09"/>
    <x v="1"/>
    <x v="5"/>
    <s v="Electronics"/>
    <n v="16511.240000000002"/>
    <n v="3052.91"/>
    <n v="10"/>
    <n v="13458.330000000002"/>
    <s v="January"/>
    <n v="0.81510110688234194"/>
    <m/>
    <m/>
  </r>
  <r>
    <s v="ORD00695"/>
    <s v="2025-02-06"/>
    <x v="3"/>
    <x v="5"/>
    <s v="Accessories"/>
    <n v="17335.740000000002"/>
    <n v="1151.8"/>
    <n v="18"/>
    <n v="16183.940000000002"/>
    <s v="February"/>
    <n v="0.93355922504606093"/>
    <m/>
    <m/>
  </r>
  <r>
    <s v="ORD00696"/>
    <s v="2025-12-29"/>
    <x v="0"/>
    <x v="4"/>
    <s v="Accessories"/>
    <n v="35358.11"/>
    <n v="10314.09"/>
    <n v="14"/>
    <n v="25044.02"/>
    <s v="December"/>
    <n v="0.70829634276266462"/>
    <m/>
    <m/>
  </r>
  <r>
    <s v="ORD00697"/>
    <s v="2025-01-15"/>
    <x v="0"/>
    <x v="1"/>
    <s v="Electronics"/>
    <n v="48402.29"/>
    <n v="4664.29"/>
    <n v="3"/>
    <n v="43738"/>
    <s v="January"/>
    <n v="0.90363493132246431"/>
    <m/>
    <m/>
  </r>
  <r>
    <s v="ORD00698"/>
    <s v="2025-09-11"/>
    <x v="3"/>
    <x v="5"/>
    <s v="Office Supplies"/>
    <n v="40325.08"/>
    <n v="8259.98"/>
    <n v="6"/>
    <n v="32065.100000000002"/>
    <s v="September"/>
    <n v="0.79516519248070927"/>
    <m/>
    <m/>
  </r>
  <r>
    <s v="ORD00699"/>
    <s v="2025-07-31"/>
    <x v="2"/>
    <x v="3"/>
    <s v="Accessories"/>
    <n v="32346.65"/>
    <n v="5731.95"/>
    <n v="18"/>
    <n v="26614.7"/>
    <s v="July"/>
    <n v="0.82279617827503004"/>
    <m/>
    <m/>
  </r>
  <r>
    <s v="ORD00700"/>
    <s v="2025-11-11"/>
    <x v="2"/>
    <x v="5"/>
    <s v="Accessories"/>
    <n v="10134.49"/>
    <n v="2546.16"/>
    <n v="17"/>
    <n v="7588.33"/>
    <s v="November"/>
    <n v="0.74876288792035905"/>
    <m/>
    <m/>
  </r>
  <r>
    <s v="ORD00701"/>
    <s v="2025-03-22"/>
    <x v="2"/>
    <x v="5"/>
    <s v="Office Supplies"/>
    <n v="31613.45"/>
    <n v="7695.24"/>
    <n v="11"/>
    <n v="23918.21"/>
    <s v="March"/>
    <n v="0.75658335297159907"/>
    <m/>
    <m/>
  </r>
  <r>
    <s v="ORD00702"/>
    <s v="2025-07-26"/>
    <x v="2"/>
    <x v="1"/>
    <s v="Accessories"/>
    <n v="43463.4"/>
    <n v="3866.04"/>
    <n v="20"/>
    <n v="39597.360000000001"/>
    <s v="July"/>
    <n v="0.91105067712144006"/>
    <m/>
    <m/>
  </r>
  <r>
    <s v="ORD00703"/>
    <s v="2025-11-16"/>
    <x v="1"/>
    <x v="4"/>
    <s v="Accessories"/>
    <n v="22230.16"/>
    <n v="4999.58"/>
    <n v="4"/>
    <n v="17230.580000000002"/>
    <s v="November"/>
    <n v="0.77509923455341756"/>
    <m/>
    <m/>
  </r>
  <r>
    <s v="ORD00704"/>
    <s v="2025-09-16"/>
    <x v="0"/>
    <x v="2"/>
    <s v="Electronics"/>
    <n v="49805.15"/>
    <n v="11472.18"/>
    <n v="1"/>
    <n v="38332.97"/>
    <s v="September"/>
    <n v="0.76965876018845436"/>
    <m/>
    <m/>
  </r>
  <r>
    <s v="ORD00705"/>
    <s v="2025-04-24"/>
    <x v="2"/>
    <x v="2"/>
    <s v="Office Supplies"/>
    <n v="36831.53"/>
    <n v="7409.07"/>
    <n v="10"/>
    <n v="29422.46"/>
    <s v="April"/>
    <n v="0.79883892958017222"/>
    <m/>
    <m/>
  </r>
  <r>
    <s v="ORD00706"/>
    <s v="2025-05-31"/>
    <x v="2"/>
    <x v="0"/>
    <s v="Accessories"/>
    <n v="43765.120000000003"/>
    <n v="11482.09"/>
    <n v="6"/>
    <n v="32283.030000000002"/>
    <s v="May"/>
    <n v="0.7376428991854701"/>
    <m/>
    <m/>
  </r>
  <r>
    <s v="ORD00707"/>
    <s v="2025-11-12"/>
    <x v="2"/>
    <x v="5"/>
    <s v="Office Supplies"/>
    <n v="9248.6299999999992"/>
    <n v="2379.83"/>
    <n v="11"/>
    <n v="6868.7999999999993"/>
    <s v="November"/>
    <n v="0.74268297034263453"/>
    <m/>
    <m/>
  </r>
  <r>
    <s v="ORD00708"/>
    <s v="2025-05-13"/>
    <x v="3"/>
    <x v="2"/>
    <s v="Electronics"/>
    <n v="31749.71"/>
    <n v="7737.05"/>
    <n v="9"/>
    <n v="24012.66"/>
    <s v="May"/>
    <n v="0.7563111600074458"/>
    <m/>
    <m/>
  </r>
  <r>
    <s v="ORD00709"/>
    <s v="2025-11-05"/>
    <x v="1"/>
    <x v="1"/>
    <s v="Accessories"/>
    <n v="4890.72"/>
    <n v="738.03"/>
    <n v="12"/>
    <n v="4152.6900000000005"/>
    <s v="November"/>
    <n v="0.84909583864952409"/>
    <m/>
    <m/>
  </r>
  <r>
    <s v="ORD00710"/>
    <s v="2025-03-16"/>
    <x v="3"/>
    <x v="2"/>
    <s v="Accessories"/>
    <n v="1646.73"/>
    <n v="320.62"/>
    <n v="15"/>
    <n v="1326.1100000000001"/>
    <s v="March"/>
    <n v="0.80529898647622866"/>
    <m/>
    <m/>
  </r>
  <r>
    <s v="ORD00711"/>
    <s v="2025-06-17"/>
    <x v="3"/>
    <x v="1"/>
    <s v="Accessories"/>
    <n v="49198.13"/>
    <n v="13347.72"/>
    <n v="3"/>
    <n v="35850.409999999996"/>
    <s v="June"/>
    <n v="0.72869456623656226"/>
    <m/>
    <m/>
  </r>
  <r>
    <s v="ORD00712"/>
    <s v="2025-01-19"/>
    <x v="2"/>
    <x v="1"/>
    <s v="Accessories"/>
    <n v="19176.71"/>
    <n v="4703.91"/>
    <n v="6"/>
    <n v="14472.8"/>
    <s v="January"/>
    <n v="0.75470714215316392"/>
    <m/>
    <m/>
  </r>
  <r>
    <s v="ORD00713"/>
    <s v="2025-11-20"/>
    <x v="0"/>
    <x v="4"/>
    <s v="Accessories"/>
    <n v="13148.43"/>
    <n v="1256.31"/>
    <n v="19"/>
    <n v="11892.12"/>
    <s v="November"/>
    <n v="0.90445171020418413"/>
    <m/>
    <m/>
  </r>
  <r>
    <s v="ORD00714"/>
    <s v="2025-10-23"/>
    <x v="0"/>
    <x v="1"/>
    <s v="Electronics"/>
    <n v="9230.31"/>
    <n v="707.52"/>
    <n v="5"/>
    <n v="8522.7899999999991"/>
    <s v="October"/>
    <n v="0.9233481865722819"/>
    <m/>
    <m/>
  </r>
  <r>
    <s v="ORD00715"/>
    <s v="2025-06-30"/>
    <x v="0"/>
    <x v="4"/>
    <s v="Office Supplies"/>
    <n v="15076.05"/>
    <n v="2095.8200000000002"/>
    <n v="5"/>
    <n v="12980.23"/>
    <s v="June"/>
    <n v="0.86098348042093253"/>
    <m/>
    <m/>
  </r>
  <r>
    <s v="ORD00716"/>
    <s v="2025-10-22"/>
    <x v="3"/>
    <x v="2"/>
    <s v="Accessories"/>
    <n v="8138.26"/>
    <n v="422.57"/>
    <n v="20"/>
    <n v="7715.6900000000005"/>
    <s v="October"/>
    <n v="0.9480761243803959"/>
    <m/>
    <m/>
  </r>
  <r>
    <s v="ORD00717"/>
    <s v="2025-01-14"/>
    <x v="3"/>
    <x v="1"/>
    <s v="Accessories"/>
    <n v="37478.14"/>
    <n v="8261.44"/>
    <n v="17"/>
    <n v="29216.699999999997"/>
    <s v="January"/>
    <n v="0.77956643526066116"/>
    <m/>
    <m/>
  </r>
  <r>
    <s v="ORD00718"/>
    <s v="2025-11-14"/>
    <x v="0"/>
    <x v="3"/>
    <s v="Office Supplies"/>
    <n v="45509.06"/>
    <n v="12017.24"/>
    <n v="4"/>
    <n v="33491.82"/>
    <s v="November"/>
    <n v="0.73593741553879599"/>
    <m/>
    <m/>
  </r>
  <r>
    <s v="ORD00719"/>
    <s v="2025-02-25"/>
    <x v="0"/>
    <x v="0"/>
    <s v="Office Supplies"/>
    <n v="26636.97"/>
    <n v="7267.65"/>
    <n v="12"/>
    <n v="19369.32"/>
    <s v="February"/>
    <n v="0.72715928275625941"/>
    <m/>
    <m/>
  </r>
  <r>
    <s v="ORD00720"/>
    <s v="2025-02-04"/>
    <x v="0"/>
    <x v="5"/>
    <s v="Electronics"/>
    <n v="10390.82"/>
    <n v="2012.86"/>
    <n v="14"/>
    <n v="8377.9599999999991"/>
    <s v="February"/>
    <n v="0.80628477829468703"/>
    <m/>
    <m/>
  </r>
  <r>
    <s v="ORD00721"/>
    <s v="2025-07-12"/>
    <x v="3"/>
    <x v="4"/>
    <s v="Electronics"/>
    <n v="23378.86"/>
    <n v="1933.91"/>
    <n v="1"/>
    <n v="21444.95"/>
    <s v="July"/>
    <n v="0.91727954228734854"/>
    <m/>
    <m/>
  </r>
  <r>
    <s v="ORD00722"/>
    <s v="2025-05-20"/>
    <x v="2"/>
    <x v="0"/>
    <s v="Office Supplies"/>
    <n v="48846.49"/>
    <n v="7999.34"/>
    <n v="13"/>
    <n v="40847.149999999994"/>
    <s v="May"/>
    <n v="0.83623511126387984"/>
    <m/>
    <m/>
  </r>
  <r>
    <s v="ORD00723"/>
    <s v="2025-10-15"/>
    <x v="1"/>
    <x v="4"/>
    <s v="Office Supplies"/>
    <n v="29856.05"/>
    <n v="1655.02"/>
    <n v="11"/>
    <n v="28201.03"/>
    <s v="October"/>
    <n v="0.94456667911528813"/>
    <m/>
    <m/>
  </r>
  <r>
    <s v="ORD00724"/>
    <s v="2025-03-14"/>
    <x v="3"/>
    <x v="1"/>
    <s v="Electronics"/>
    <n v="29848.1"/>
    <n v="1737.84"/>
    <n v="14"/>
    <n v="28110.26"/>
    <s v="March"/>
    <n v="0.94177719854865138"/>
    <m/>
    <m/>
  </r>
  <r>
    <s v="ORD00725"/>
    <s v="2025-09-27"/>
    <x v="1"/>
    <x v="5"/>
    <s v="Accessories"/>
    <n v="13007.42"/>
    <n v="1630.95"/>
    <n v="18"/>
    <n v="11376.47"/>
    <s v="September"/>
    <n v="0.8746138742348597"/>
    <m/>
    <m/>
  </r>
  <r>
    <s v="ORD00726"/>
    <s v="2025-11-09"/>
    <x v="1"/>
    <x v="2"/>
    <s v="Office Supplies"/>
    <n v="31179.69"/>
    <n v="2266.4899999999998"/>
    <n v="2"/>
    <n v="28913.199999999997"/>
    <s v="November"/>
    <n v="0.9273087705490336"/>
    <m/>
    <m/>
  </r>
  <r>
    <s v="ORD00727"/>
    <s v="2025-07-14"/>
    <x v="0"/>
    <x v="5"/>
    <s v="Office Supplies"/>
    <n v="3940.31"/>
    <n v="297.93"/>
    <n v="18"/>
    <n v="3642.38"/>
    <s v="July"/>
    <n v="0.92438919780423368"/>
    <m/>
    <m/>
  </r>
  <r>
    <s v="ORD00728"/>
    <s v="2025-04-28"/>
    <x v="0"/>
    <x v="1"/>
    <s v="Office Supplies"/>
    <n v="7116.93"/>
    <n v="879.14"/>
    <n v="6"/>
    <n v="6237.79"/>
    <s v="April"/>
    <n v="0.8764720181314134"/>
    <m/>
    <m/>
  </r>
  <r>
    <s v="ORD00729"/>
    <s v="2025-02-01"/>
    <x v="1"/>
    <x v="1"/>
    <s v="Electronics"/>
    <n v="6217.99"/>
    <n v="890.93"/>
    <n v="17"/>
    <n v="5327.0599999999995"/>
    <s v="February"/>
    <n v="0.85671736364966811"/>
    <m/>
    <m/>
  </r>
  <r>
    <s v="ORD00730"/>
    <s v="2025-03-16"/>
    <x v="2"/>
    <x v="3"/>
    <s v="Office Supplies"/>
    <n v="49435.67"/>
    <n v="5704.77"/>
    <n v="18"/>
    <n v="43730.899999999994"/>
    <s v="March"/>
    <n v="0.88460215063333814"/>
    <m/>
    <m/>
  </r>
  <r>
    <s v="ORD00731"/>
    <s v="2025-01-21"/>
    <x v="1"/>
    <x v="0"/>
    <s v="Office Supplies"/>
    <n v="40936.080000000002"/>
    <n v="9209.1"/>
    <n v="4"/>
    <n v="31726.980000000003"/>
    <s v="January"/>
    <n v="0.77503708220230183"/>
    <m/>
    <m/>
  </r>
  <r>
    <s v="ORD00732"/>
    <s v="2025-06-12"/>
    <x v="3"/>
    <x v="1"/>
    <s v="Electronics"/>
    <n v="14322.99"/>
    <n v="1975.51"/>
    <n v="3"/>
    <n v="12347.48"/>
    <s v="June"/>
    <n v="0.86207418981651174"/>
    <m/>
    <m/>
  </r>
  <r>
    <s v="ORD00733"/>
    <s v="2025-02-22"/>
    <x v="3"/>
    <x v="3"/>
    <s v="Accessories"/>
    <n v="40657.699999999997"/>
    <n v="9703.2999999999993"/>
    <n v="15"/>
    <n v="30954.399999999998"/>
    <s v="February"/>
    <n v="0.76134164008293637"/>
    <m/>
    <m/>
  </r>
  <r>
    <s v="ORD00734"/>
    <s v="2025-03-11"/>
    <x v="2"/>
    <x v="1"/>
    <s v="Office Supplies"/>
    <n v="39662.25"/>
    <n v="10960.51"/>
    <n v="9"/>
    <n v="28701.739999999998"/>
    <s v="March"/>
    <n v="0.72365385221463729"/>
    <m/>
    <m/>
  </r>
  <r>
    <s v="ORD00735"/>
    <s v="2025-07-29"/>
    <x v="2"/>
    <x v="5"/>
    <s v="Electronics"/>
    <n v="14863.94"/>
    <n v="3105.41"/>
    <n v="12"/>
    <n v="11758.53"/>
    <s v="July"/>
    <n v="0.79107760122820736"/>
    <m/>
    <m/>
  </r>
  <r>
    <s v="ORD00736"/>
    <s v="2025-07-16"/>
    <x v="2"/>
    <x v="5"/>
    <s v="Electronics"/>
    <n v="49623.61"/>
    <n v="11956.23"/>
    <n v="2"/>
    <n v="37667.380000000005"/>
    <s v="July"/>
    <n v="0.75906166439724965"/>
    <m/>
    <m/>
  </r>
  <r>
    <s v="ORD00737"/>
    <s v="2025-09-10"/>
    <x v="2"/>
    <x v="1"/>
    <s v="Accessories"/>
    <n v="27989.55"/>
    <n v="8188.02"/>
    <n v="8"/>
    <n v="19801.53"/>
    <s v="September"/>
    <n v="0.70746153475136253"/>
    <m/>
    <m/>
  </r>
  <r>
    <s v="ORD00738"/>
    <s v="2025-01-18"/>
    <x v="0"/>
    <x v="2"/>
    <s v="Accessories"/>
    <n v="20764.45"/>
    <n v="3644.35"/>
    <n v="20"/>
    <n v="17120.100000000002"/>
    <s v="January"/>
    <n v="0.82449089670085174"/>
    <m/>
    <m/>
  </r>
  <r>
    <s v="ORD00739"/>
    <s v="2025-03-07"/>
    <x v="3"/>
    <x v="1"/>
    <s v="Electronics"/>
    <n v="45829.79"/>
    <n v="11293.47"/>
    <n v="10"/>
    <n v="34536.32"/>
    <s v="March"/>
    <n v="0.75357796751850703"/>
    <m/>
    <m/>
  </r>
  <r>
    <s v="ORD00740"/>
    <s v="2025-01-12"/>
    <x v="1"/>
    <x v="0"/>
    <s v="Office Supplies"/>
    <n v="28541.81"/>
    <n v="8039.81"/>
    <n v="16"/>
    <n v="20502"/>
    <s v="January"/>
    <n v="0.71831464087246044"/>
    <m/>
    <m/>
  </r>
  <r>
    <s v="ORD00741"/>
    <s v="2025-10-31"/>
    <x v="2"/>
    <x v="3"/>
    <s v="Office Supplies"/>
    <n v="21100.38"/>
    <n v="3995.66"/>
    <n v="11"/>
    <n v="17104.72"/>
    <s v="October"/>
    <n v="0.81063563784159343"/>
    <m/>
    <m/>
  </r>
  <r>
    <s v="ORD00742"/>
    <s v="2025-07-01"/>
    <x v="3"/>
    <x v="2"/>
    <s v="Electronics"/>
    <n v="11428.24"/>
    <n v="2035.37"/>
    <n v="18"/>
    <n v="9392.869999999999"/>
    <s v="July"/>
    <n v="0.82189996009884281"/>
    <m/>
    <m/>
  </r>
  <r>
    <s v="ORD00743"/>
    <s v="2025-09-21"/>
    <x v="0"/>
    <x v="1"/>
    <s v="Office Supplies"/>
    <n v="23336.28"/>
    <n v="5808.83"/>
    <n v="10"/>
    <n v="17527.449999999997"/>
    <s v="September"/>
    <n v="0.75108157769790207"/>
    <m/>
    <m/>
  </r>
  <r>
    <s v="ORD00744"/>
    <s v="2025-12-02"/>
    <x v="3"/>
    <x v="2"/>
    <s v="Office Supplies"/>
    <n v="36928.82"/>
    <n v="9936.61"/>
    <n v="14"/>
    <n v="26992.21"/>
    <s v="December"/>
    <n v="0.73092533148906458"/>
    <m/>
    <m/>
  </r>
  <r>
    <s v="ORD00745"/>
    <s v="2025-04-23"/>
    <x v="0"/>
    <x v="0"/>
    <s v="Accessories"/>
    <n v="35491.71"/>
    <n v="9757.32"/>
    <n v="6"/>
    <n v="25734.39"/>
    <s v="April"/>
    <n v="0.72508171626557305"/>
    <m/>
    <m/>
  </r>
  <r>
    <s v="ORD00746"/>
    <s v="2025-01-15"/>
    <x v="0"/>
    <x v="4"/>
    <s v="Office Supplies"/>
    <n v="13661.78"/>
    <n v="3729.74"/>
    <n v="2"/>
    <n v="9932.0400000000009"/>
    <s v="January"/>
    <n v="0.72699457903728504"/>
    <m/>
    <m/>
  </r>
  <r>
    <s v="ORD00747"/>
    <s v="2025-02-07"/>
    <x v="2"/>
    <x v="0"/>
    <s v="Electronics"/>
    <n v="23143.9"/>
    <n v="6503.8"/>
    <n v="15"/>
    <n v="16640.100000000002"/>
    <s v="February"/>
    <n v="0.71898426799286208"/>
    <m/>
    <m/>
  </r>
  <r>
    <s v="ORD00748"/>
    <s v="2025-12-16"/>
    <x v="2"/>
    <x v="5"/>
    <s v="Accessories"/>
    <n v="49987.59"/>
    <n v="3380.44"/>
    <n v="8"/>
    <n v="46607.149999999994"/>
    <s v="December"/>
    <n v="0.93237441532988485"/>
    <m/>
    <m/>
  </r>
  <r>
    <s v="ORD00749"/>
    <s v="2026-01-01"/>
    <x v="3"/>
    <x v="2"/>
    <s v="Office Supplies"/>
    <n v="13416.83"/>
    <n v="2740.77"/>
    <n v="19"/>
    <n v="10676.06"/>
    <s v="January"/>
    <n v="0.79572149307995999"/>
    <m/>
    <m/>
  </r>
  <r>
    <s v="ORD00750"/>
    <s v="2025-03-03"/>
    <x v="0"/>
    <x v="2"/>
    <s v="Electronics"/>
    <n v="6288.6"/>
    <n v="1247.5"/>
    <n v="8"/>
    <n v="5041.1000000000004"/>
    <s v="March"/>
    <n v="0.80162516299335307"/>
    <m/>
    <m/>
  </r>
  <r>
    <s v="ORD00751"/>
    <s v="2025-03-23"/>
    <x v="3"/>
    <x v="4"/>
    <s v="Office Supplies"/>
    <n v="29288.720000000001"/>
    <n v="1539.46"/>
    <n v="8"/>
    <n v="27749.260000000002"/>
    <s v="March"/>
    <n v="0.94743846777872165"/>
    <m/>
    <m/>
  </r>
  <r>
    <s v="ORD00752"/>
    <s v="2025-09-28"/>
    <x v="1"/>
    <x v="1"/>
    <s v="Electronics"/>
    <n v="35002.42"/>
    <n v="1925.31"/>
    <n v="14"/>
    <n v="33077.11"/>
    <s v="September"/>
    <n v="0.94499494606372936"/>
    <m/>
    <m/>
  </r>
  <r>
    <s v="ORD00753"/>
    <s v="2025-11-21"/>
    <x v="3"/>
    <x v="4"/>
    <s v="Accessories"/>
    <n v="19783.099999999999"/>
    <n v="4804.8900000000003"/>
    <n v="16"/>
    <n v="14978.21"/>
    <s v="November"/>
    <n v="0.75712148247746813"/>
    <m/>
    <m/>
  </r>
  <r>
    <s v="ORD00754"/>
    <s v="2025-04-06"/>
    <x v="0"/>
    <x v="3"/>
    <s v="Office Supplies"/>
    <n v="5075.1099999999997"/>
    <n v="556.84"/>
    <n v="13"/>
    <n v="4518.2699999999995"/>
    <s v="April"/>
    <n v="0.89028021067523655"/>
    <m/>
    <m/>
  </r>
  <r>
    <s v="ORD00755"/>
    <s v="2025-01-25"/>
    <x v="0"/>
    <x v="5"/>
    <s v="Accessories"/>
    <n v="36572"/>
    <n v="10664.32"/>
    <n v="5"/>
    <n v="25907.68"/>
    <s v="January"/>
    <n v="0.70840205621787156"/>
    <m/>
    <m/>
  </r>
  <r>
    <s v="ORD00756"/>
    <s v="2025-02-11"/>
    <x v="1"/>
    <x v="2"/>
    <s v="Accessories"/>
    <n v="3790.17"/>
    <n v="412.86"/>
    <n v="15"/>
    <n v="3377.31"/>
    <s v="February"/>
    <n v="0.89107084906481759"/>
    <m/>
    <m/>
  </r>
  <r>
    <s v="ORD00757"/>
    <s v="2025-02-06"/>
    <x v="1"/>
    <x v="3"/>
    <s v="Electronics"/>
    <n v="48503.5"/>
    <n v="6447.98"/>
    <n v="13"/>
    <n v="42055.520000000004"/>
    <s v="February"/>
    <n v="0.86706155225911541"/>
    <m/>
    <m/>
  </r>
  <r>
    <s v="ORD00758"/>
    <s v="2025-10-06"/>
    <x v="1"/>
    <x v="0"/>
    <s v="Accessories"/>
    <n v="31703.95"/>
    <n v="9357.0300000000007"/>
    <n v="15"/>
    <n v="22346.92"/>
    <s v="October"/>
    <n v="0.7048623278802798"/>
    <m/>
    <m/>
  </r>
  <r>
    <s v="ORD00759"/>
    <s v="2025-06-20"/>
    <x v="1"/>
    <x v="2"/>
    <s v="Accessories"/>
    <n v="33573.629999999997"/>
    <n v="3323.46"/>
    <n v="19"/>
    <n v="30250.17"/>
    <s v="June"/>
    <n v="0.90100981037796635"/>
    <m/>
    <m/>
  </r>
  <r>
    <s v="ORD00760"/>
    <s v="2025-01-10"/>
    <x v="1"/>
    <x v="0"/>
    <s v="Office Supplies"/>
    <n v="24843.61"/>
    <n v="6676.12"/>
    <n v="6"/>
    <n v="18167.490000000002"/>
    <s v="January"/>
    <n v="0.73127415862670531"/>
    <m/>
    <m/>
  </r>
  <r>
    <s v="ORD00761"/>
    <s v="2025-03-19"/>
    <x v="3"/>
    <x v="3"/>
    <s v="Accessories"/>
    <n v="19438.990000000002"/>
    <n v="1634.98"/>
    <n v="13"/>
    <n v="17804.010000000002"/>
    <s v="March"/>
    <n v="0.91589172071182712"/>
    <m/>
    <m/>
  </r>
  <r>
    <s v="ORD00762"/>
    <s v="2025-08-05"/>
    <x v="1"/>
    <x v="3"/>
    <s v="Electronics"/>
    <n v="18598.54"/>
    <n v="2084.27"/>
    <n v="19"/>
    <n v="16514.27"/>
    <s v="August"/>
    <n v="0.88793367651439303"/>
    <m/>
    <m/>
  </r>
  <r>
    <s v="ORD00763"/>
    <s v="2025-11-02"/>
    <x v="0"/>
    <x v="5"/>
    <s v="Office Supplies"/>
    <n v="35477.61"/>
    <n v="10254.48"/>
    <n v="6"/>
    <n v="25223.13"/>
    <s v="November"/>
    <n v="0.71095910913953897"/>
    <m/>
    <m/>
  </r>
  <r>
    <s v="ORD00764"/>
    <s v="2025-07-15"/>
    <x v="3"/>
    <x v="4"/>
    <s v="Accessories"/>
    <n v="7595.62"/>
    <n v="2112.54"/>
    <n v="18"/>
    <n v="5483.08"/>
    <s v="July"/>
    <n v="0.72187392207614387"/>
    <m/>
    <m/>
  </r>
  <r>
    <s v="ORD00765"/>
    <s v="2025-04-22"/>
    <x v="2"/>
    <x v="5"/>
    <s v="Office Supplies"/>
    <n v="13006.99"/>
    <n v="2678.63"/>
    <n v="15"/>
    <n v="10328.36"/>
    <s v="April"/>
    <n v="0.79406226959504089"/>
    <m/>
    <m/>
  </r>
  <r>
    <s v="ORD00766"/>
    <s v="2025-01-08"/>
    <x v="3"/>
    <x v="4"/>
    <s v="Office Supplies"/>
    <n v="22614.73"/>
    <n v="4726.6499999999996"/>
    <n v="14"/>
    <n v="17888.080000000002"/>
    <s v="January"/>
    <n v="0.79099241954248412"/>
    <m/>
    <m/>
  </r>
  <r>
    <s v="ORD00767"/>
    <s v="2025-04-09"/>
    <x v="0"/>
    <x v="2"/>
    <s v="Electronics"/>
    <n v="39774.74"/>
    <n v="5745.39"/>
    <n v="8"/>
    <n v="34029.35"/>
    <s v="April"/>
    <n v="0.85555178990484915"/>
    <m/>
    <m/>
  </r>
  <r>
    <s v="ORD00768"/>
    <s v="2025-06-21"/>
    <x v="1"/>
    <x v="1"/>
    <s v="Accessories"/>
    <n v="1936.7"/>
    <n v="258.51"/>
    <n v="17"/>
    <n v="1678.19"/>
    <s v="June"/>
    <n v="0.86652036970103785"/>
    <m/>
    <m/>
  </r>
  <r>
    <s v="ORD00769"/>
    <s v="2025-06-19"/>
    <x v="3"/>
    <x v="4"/>
    <s v="Electronics"/>
    <n v="18612.14"/>
    <n v="1173.75"/>
    <n v="16"/>
    <n v="17438.39"/>
    <s v="June"/>
    <n v="0.9369363222069037"/>
    <m/>
    <m/>
  </r>
  <r>
    <s v="ORD00770"/>
    <s v="2025-09-04"/>
    <x v="2"/>
    <x v="1"/>
    <s v="Accessories"/>
    <n v="9761.8799999999992"/>
    <n v="494.11"/>
    <n v="10"/>
    <n v="9267.7699999999986"/>
    <s v="September"/>
    <n v="0.94938372526603476"/>
    <m/>
    <m/>
  </r>
  <r>
    <s v="ORD00771"/>
    <s v="2025-07-05"/>
    <x v="0"/>
    <x v="2"/>
    <s v="Accessories"/>
    <n v="34018"/>
    <n v="7919.9"/>
    <n v="9"/>
    <n v="26098.1"/>
    <s v="July"/>
    <n v="0.76718501969545527"/>
    <m/>
    <m/>
  </r>
  <r>
    <s v="ORD00772"/>
    <s v="2025-03-04"/>
    <x v="3"/>
    <x v="2"/>
    <s v="Accessories"/>
    <n v="40371.18"/>
    <n v="9792.32"/>
    <n v="17"/>
    <n v="30578.86"/>
    <s v="March"/>
    <n v="0.75744280944971143"/>
    <m/>
    <m/>
  </r>
  <r>
    <s v="ORD00773"/>
    <s v="2025-12-30"/>
    <x v="2"/>
    <x v="0"/>
    <s v="Electronics"/>
    <n v="4402.3900000000003"/>
    <n v="732.23"/>
    <n v="1"/>
    <n v="3670.1600000000003"/>
    <s v="December"/>
    <n v="0.83367443593139179"/>
    <m/>
    <m/>
  </r>
  <r>
    <s v="ORD00774"/>
    <s v="2025-06-12"/>
    <x v="1"/>
    <x v="4"/>
    <s v="Electronics"/>
    <n v="24247.95"/>
    <n v="6427.7"/>
    <n v="11"/>
    <n v="17820.25"/>
    <s v="June"/>
    <n v="0.73491779717460648"/>
    <m/>
    <m/>
  </r>
  <r>
    <s v="ORD00775"/>
    <s v="2025-11-17"/>
    <x v="2"/>
    <x v="5"/>
    <s v="Accessories"/>
    <n v="3541.97"/>
    <n v="548.16"/>
    <n v="17"/>
    <n v="2993.81"/>
    <s v="November"/>
    <n v="0.84523866661772973"/>
    <m/>
    <m/>
  </r>
  <r>
    <s v="ORD00776"/>
    <s v="2025-07-28"/>
    <x v="1"/>
    <x v="4"/>
    <s v="Electronics"/>
    <n v="20519.18"/>
    <n v="5496.1"/>
    <n v="9"/>
    <n v="15023.08"/>
    <s v="July"/>
    <n v="0.73214816576490871"/>
    <m/>
    <m/>
  </r>
  <r>
    <s v="ORD00777"/>
    <s v="2025-10-26"/>
    <x v="3"/>
    <x v="0"/>
    <s v="Office Supplies"/>
    <n v="30938.1"/>
    <n v="8090.94"/>
    <n v="11"/>
    <n v="22847.16"/>
    <s v="October"/>
    <n v="0.73847973857476712"/>
    <m/>
    <m/>
  </r>
  <r>
    <s v="ORD00778"/>
    <s v="2025-03-22"/>
    <x v="1"/>
    <x v="5"/>
    <s v="Electronics"/>
    <n v="32486.7"/>
    <n v="5229.32"/>
    <n v="1"/>
    <n v="27257.38"/>
    <s v="March"/>
    <n v="0.83903197308436994"/>
    <m/>
    <m/>
  </r>
  <r>
    <s v="ORD00779"/>
    <s v="2025-07-09"/>
    <x v="3"/>
    <x v="5"/>
    <s v="Electronics"/>
    <n v="11854.67"/>
    <n v="2991.23"/>
    <n v="9"/>
    <n v="8863.44"/>
    <s v="July"/>
    <n v="0.74767496691177404"/>
    <m/>
    <m/>
  </r>
  <r>
    <s v="ORD00780"/>
    <s v="2025-07-16"/>
    <x v="2"/>
    <x v="1"/>
    <s v="Office Supplies"/>
    <n v="23357.62"/>
    <n v="2500.7399999999998"/>
    <n v="20"/>
    <n v="20856.879999999997"/>
    <s v="July"/>
    <n v="0.89293686599918987"/>
    <m/>
    <m/>
  </r>
  <r>
    <s v="ORD00781"/>
    <s v="2025-08-23"/>
    <x v="3"/>
    <x v="0"/>
    <s v="Electronics"/>
    <n v="45322.46"/>
    <n v="10399.879999999999"/>
    <n v="19"/>
    <n v="34922.58"/>
    <s v="August"/>
    <n v="0.77053584470039804"/>
    <m/>
    <m/>
  </r>
  <r>
    <s v="ORD00782"/>
    <s v="2025-02-06"/>
    <x v="2"/>
    <x v="1"/>
    <s v="Accessories"/>
    <n v="41853.86"/>
    <n v="11273.26"/>
    <n v="17"/>
    <n v="30580.6"/>
    <s v="February"/>
    <n v="0.73065184429823193"/>
    <m/>
    <m/>
  </r>
  <r>
    <s v="ORD00783"/>
    <s v="2025-09-17"/>
    <x v="0"/>
    <x v="4"/>
    <s v="Office Supplies"/>
    <n v="5473.66"/>
    <n v="688.35"/>
    <n v="1"/>
    <n v="4785.3099999999995"/>
    <s v="September"/>
    <n v="0.87424319376797233"/>
    <m/>
    <m/>
  </r>
  <r>
    <s v="ORD00784"/>
    <s v="2025-05-30"/>
    <x v="1"/>
    <x v="0"/>
    <s v="Accessories"/>
    <n v="21064.47"/>
    <n v="1091.8499999999999"/>
    <n v="1"/>
    <n v="19972.620000000003"/>
    <s v="May"/>
    <n v="0.94816627240087226"/>
    <m/>
    <m/>
  </r>
  <r>
    <s v="ORD00785"/>
    <s v="2025-02-13"/>
    <x v="2"/>
    <x v="4"/>
    <s v="Electronics"/>
    <n v="28155.33"/>
    <n v="7446.24"/>
    <n v="11"/>
    <n v="20709.090000000004"/>
    <s v="February"/>
    <n v="0.73553000444320848"/>
    <m/>
    <m/>
  </r>
  <r>
    <s v="ORD00786"/>
    <s v="2025-10-12"/>
    <x v="2"/>
    <x v="5"/>
    <s v="Office Supplies"/>
    <n v="26618.28"/>
    <n v="7894.73"/>
    <n v="3"/>
    <n v="18723.55"/>
    <s v="October"/>
    <n v="0.70340946146783334"/>
    <m/>
    <m/>
  </r>
  <r>
    <s v="ORD00787"/>
    <s v="2025-06-16"/>
    <x v="3"/>
    <x v="5"/>
    <s v="Office Supplies"/>
    <n v="27826.31"/>
    <n v="3321.42"/>
    <n v="2"/>
    <n v="24504.89"/>
    <s v="June"/>
    <n v="0.88063742551563606"/>
    <m/>
    <m/>
  </r>
  <r>
    <s v="ORD00788"/>
    <s v="2025-11-18"/>
    <x v="0"/>
    <x v="0"/>
    <s v="Office Supplies"/>
    <n v="1995.08"/>
    <n v="316.13"/>
    <n v="19"/>
    <n v="1678.9499999999998"/>
    <s v="November"/>
    <n v="0.84154520119493947"/>
    <m/>
    <m/>
  </r>
  <r>
    <s v="ORD00789"/>
    <s v="2025-06-02"/>
    <x v="1"/>
    <x v="5"/>
    <s v="Accessories"/>
    <n v="2948.43"/>
    <n v="289.61"/>
    <n v="9"/>
    <n v="2658.8199999999997"/>
    <s v="June"/>
    <n v="0.90177484288248322"/>
    <m/>
    <m/>
  </r>
  <r>
    <s v="ORD00790"/>
    <s v="2025-06-08"/>
    <x v="3"/>
    <x v="1"/>
    <s v="Electronics"/>
    <n v="26346.080000000002"/>
    <n v="1740.73"/>
    <n v="12"/>
    <n v="24605.350000000002"/>
    <s v="June"/>
    <n v="0.93392831115672614"/>
    <m/>
    <m/>
  </r>
  <r>
    <s v="ORD00791"/>
    <s v="2025-07-29"/>
    <x v="2"/>
    <x v="2"/>
    <s v="Office Supplies"/>
    <n v="13578.18"/>
    <n v="1808.02"/>
    <n v="17"/>
    <n v="11770.16"/>
    <s v="July"/>
    <n v="0.86684371543167049"/>
    <m/>
    <m/>
  </r>
  <r>
    <s v="ORD00792"/>
    <s v="2025-01-24"/>
    <x v="0"/>
    <x v="1"/>
    <s v="Office Supplies"/>
    <n v="34344.68"/>
    <n v="9339.9500000000007"/>
    <n v="17"/>
    <n v="25004.73"/>
    <s v="January"/>
    <n v="0.72805249604887856"/>
    <m/>
    <m/>
  </r>
  <r>
    <s v="ORD00793"/>
    <s v="2025-12-21"/>
    <x v="0"/>
    <x v="0"/>
    <s v="Office Supplies"/>
    <n v="15355.26"/>
    <n v="4231.32"/>
    <n v="16"/>
    <n v="11123.94"/>
    <s v="December"/>
    <n v="0.72443840091278167"/>
    <m/>
    <m/>
  </r>
  <r>
    <s v="ORD00794"/>
    <s v="2025-01-26"/>
    <x v="0"/>
    <x v="4"/>
    <s v="Accessories"/>
    <n v="7799.47"/>
    <n v="923.64"/>
    <n v="18"/>
    <n v="6875.83"/>
    <s v="January"/>
    <n v="0.88157656866428102"/>
    <m/>
    <m/>
  </r>
  <r>
    <s v="ORD00795"/>
    <s v="2025-01-04"/>
    <x v="0"/>
    <x v="2"/>
    <s v="Electronics"/>
    <n v="13740.97"/>
    <n v="3514.29"/>
    <n v="19"/>
    <n v="10226.68"/>
    <s v="January"/>
    <n v="0.74424731296262203"/>
    <m/>
    <m/>
  </r>
  <r>
    <s v="ORD00796"/>
    <s v="2025-11-27"/>
    <x v="1"/>
    <x v="3"/>
    <s v="Office Supplies"/>
    <n v="23747.45"/>
    <n v="6299.35"/>
    <n v="2"/>
    <n v="17448.099999999999"/>
    <s v="November"/>
    <n v="0.73473572952043265"/>
    <m/>
    <m/>
  </r>
  <r>
    <s v="ORD00797"/>
    <s v="2025-03-26"/>
    <x v="3"/>
    <x v="1"/>
    <s v="Accessories"/>
    <n v="9717.44"/>
    <n v="592.41"/>
    <n v="8"/>
    <n v="9125.0300000000007"/>
    <s v="March"/>
    <n v="0.93903641288240525"/>
    <m/>
    <m/>
  </r>
  <r>
    <s v="ORD00798"/>
    <s v="2025-05-03"/>
    <x v="1"/>
    <x v="4"/>
    <s v="Office Supplies"/>
    <n v="49140.23"/>
    <n v="9239.6200000000008"/>
    <n v="9"/>
    <n v="39900.61"/>
    <s v="May"/>
    <n v="0.81197442502812867"/>
    <m/>
    <m/>
  </r>
  <r>
    <s v="ORD00799"/>
    <s v="2025-11-10"/>
    <x v="0"/>
    <x v="2"/>
    <s v="Accessories"/>
    <n v="35745.07"/>
    <n v="3986.09"/>
    <n v="1"/>
    <n v="31758.98"/>
    <s v="November"/>
    <n v="0.88848560095140394"/>
    <m/>
    <m/>
  </r>
  <r>
    <s v="ORD00800"/>
    <s v="2025-08-29"/>
    <x v="1"/>
    <x v="0"/>
    <s v="Accessories"/>
    <n v="13987.73"/>
    <n v="3946.13"/>
    <n v="20"/>
    <n v="10041.599999999999"/>
    <s v="August"/>
    <n v="0.71788631893809784"/>
    <m/>
    <m/>
  </r>
  <r>
    <s v="ORD00801"/>
    <s v="2025-06-30"/>
    <x v="2"/>
    <x v="0"/>
    <s v="Office Supplies"/>
    <n v="25251.02"/>
    <n v="1285.49"/>
    <n v="16"/>
    <n v="23965.53"/>
    <s v="June"/>
    <n v="0.94909156144979478"/>
    <m/>
    <m/>
  </r>
  <r>
    <s v="ORD00802"/>
    <s v="2025-06-20"/>
    <x v="3"/>
    <x v="1"/>
    <s v="Office Supplies"/>
    <n v="49938.35"/>
    <n v="8302.39"/>
    <n v="13"/>
    <n v="41635.96"/>
    <s v="June"/>
    <n v="0.83374721031031263"/>
    <m/>
    <m/>
  </r>
  <r>
    <s v="ORD00803"/>
    <s v="2025-02-09"/>
    <x v="3"/>
    <x v="1"/>
    <s v="Electronics"/>
    <n v="36453.67"/>
    <n v="2809.78"/>
    <n v="20"/>
    <n v="33643.89"/>
    <s v="February"/>
    <n v="0.92292188962044153"/>
    <m/>
    <m/>
  </r>
  <r>
    <s v="ORD00804"/>
    <s v="2025-10-19"/>
    <x v="3"/>
    <x v="4"/>
    <s v="Office Supplies"/>
    <n v="23821.439999999999"/>
    <n v="6150.86"/>
    <n v="19"/>
    <n v="17670.579999999998"/>
    <s v="October"/>
    <n v="0.74179310738561566"/>
    <m/>
    <m/>
  </r>
  <r>
    <s v="ORD00805"/>
    <s v="2025-08-16"/>
    <x v="0"/>
    <x v="0"/>
    <s v="Accessories"/>
    <n v="39465.47"/>
    <n v="6076.11"/>
    <n v="10"/>
    <n v="33389.360000000001"/>
    <s v="August"/>
    <n v="0.84603984191750403"/>
    <m/>
    <m/>
  </r>
  <r>
    <s v="ORD00806"/>
    <s v="2025-11-30"/>
    <x v="3"/>
    <x v="3"/>
    <s v="Accessories"/>
    <n v="24285.74"/>
    <n v="3735.6"/>
    <n v="19"/>
    <n v="20550.140000000003"/>
    <s v="November"/>
    <n v="0.84618133933740547"/>
    <m/>
    <m/>
  </r>
  <r>
    <s v="ORD00807"/>
    <s v="2025-04-17"/>
    <x v="2"/>
    <x v="5"/>
    <s v="Office Supplies"/>
    <n v="19290.02"/>
    <n v="3532.31"/>
    <n v="20"/>
    <n v="15757.710000000001"/>
    <s v="April"/>
    <n v="0.81688406751263087"/>
    <m/>
    <m/>
  </r>
  <r>
    <s v="ORD00808"/>
    <s v="2025-08-21"/>
    <x v="0"/>
    <x v="1"/>
    <s v="Office Supplies"/>
    <n v="28038.81"/>
    <n v="5073.47"/>
    <n v="10"/>
    <n v="22965.34"/>
    <s v="August"/>
    <n v="0.81905544493507387"/>
    <m/>
    <m/>
  </r>
  <r>
    <s v="ORD00809"/>
    <s v="2025-10-07"/>
    <x v="0"/>
    <x v="5"/>
    <s v="Accessories"/>
    <n v="5883.11"/>
    <n v="826.72"/>
    <n v="19"/>
    <n v="5056.3899999999994"/>
    <s v="October"/>
    <n v="0.85947568547927877"/>
    <m/>
    <m/>
  </r>
  <r>
    <s v="ORD00810"/>
    <s v="2025-03-22"/>
    <x v="0"/>
    <x v="4"/>
    <s v="Electronics"/>
    <n v="42078.31"/>
    <n v="3739.22"/>
    <n v="1"/>
    <n v="38339.089999999997"/>
    <s v="March"/>
    <n v="0.91113664023103591"/>
    <m/>
    <m/>
  </r>
  <r>
    <s v="ORD00811"/>
    <s v="2025-05-05"/>
    <x v="2"/>
    <x v="2"/>
    <s v="Accessories"/>
    <n v="47180.88"/>
    <n v="4721.79"/>
    <n v="6"/>
    <n v="42459.09"/>
    <s v="May"/>
    <n v="0.8999215360120455"/>
    <m/>
    <m/>
  </r>
  <r>
    <s v="ORD00812"/>
    <s v="2025-02-07"/>
    <x v="0"/>
    <x v="3"/>
    <s v="Accessories"/>
    <n v="14242.95"/>
    <n v="1525.51"/>
    <n v="7"/>
    <n v="12717.44"/>
    <s v="February"/>
    <n v="0.89289367722276636"/>
    <m/>
    <m/>
  </r>
  <r>
    <s v="ORD00813"/>
    <s v="2025-06-06"/>
    <x v="2"/>
    <x v="4"/>
    <s v="Office Supplies"/>
    <n v="37537.4"/>
    <n v="8304.64"/>
    <n v="16"/>
    <n v="29232.760000000002"/>
    <s v="June"/>
    <n v="0.77876357978975641"/>
    <m/>
    <m/>
  </r>
  <r>
    <s v="ORD00814"/>
    <s v="2025-08-19"/>
    <x v="1"/>
    <x v="5"/>
    <s v="Electronics"/>
    <n v="40970.019999999997"/>
    <n v="4444.4399999999996"/>
    <n v="11"/>
    <n v="36525.579999999994"/>
    <s v="August"/>
    <n v="0.89151970147927673"/>
    <m/>
    <m/>
  </r>
  <r>
    <s v="ORD00815"/>
    <s v="2025-01-13"/>
    <x v="0"/>
    <x v="4"/>
    <s v="Accessories"/>
    <n v="38492.79"/>
    <n v="11048.05"/>
    <n v="18"/>
    <n v="27444.74"/>
    <s v="January"/>
    <n v="0.71298391205210121"/>
    <m/>
    <m/>
  </r>
  <r>
    <s v="ORD00816"/>
    <s v="2025-06-23"/>
    <x v="0"/>
    <x v="2"/>
    <s v="Electronics"/>
    <n v="10623.83"/>
    <n v="829.35"/>
    <n v="15"/>
    <n v="9794.48"/>
    <s v="June"/>
    <n v="0.92193493307027685"/>
    <m/>
    <m/>
  </r>
  <r>
    <s v="ORD00817"/>
    <s v="2025-02-18"/>
    <x v="2"/>
    <x v="2"/>
    <s v="Accessories"/>
    <n v="5963.51"/>
    <n v="1499.63"/>
    <n v="11"/>
    <n v="4463.88"/>
    <s v="February"/>
    <n v="0.74853232408430603"/>
    <m/>
    <m/>
  </r>
  <r>
    <s v="ORD00818"/>
    <s v="2025-08-15"/>
    <x v="3"/>
    <x v="4"/>
    <s v="Electronics"/>
    <n v="7293.86"/>
    <n v="578.35"/>
    <n v="14"/>
    <n v="6715.5099999999993"/>
    <s v="August"/>
    <n v="0.92070727982165812"/>
    <m/>
    <m/>
  </r>
  <r>
    <s v="ORD00819"/>
    <s v="2025-10-02"/>
    <x v="1"/>
    <x v="1"/>
    <s v="Electronics"/>
    <n v="44709.02"/>
    <n v="8147.86"/>
    <n v="11"/>
    <n v="36561.159999999996"/>
    <s v="October"/>
    <n v="0.81775802735108039"/>
    <m/>
    <m/>
  </r>
  <r>
    <s v="ORD00820"/>
    <s v="2025-09-14"/>
    <x v="2"/>
    <x v="3"/>
    <s v="Electronics"/>
    <n v="37694.870000000003"/>
    <n v="7925.6"/>
    <n v="6"/>
    <n v="29769.270000000004"/>
    <s v="September"/>
    <n v="0.78974327275833556"/>
    <m/>
    <m/>
  </r>
  <r>
    <s v="ORD00821"/>
    <s v="2025-04-10"/>
    <x v="3"/>
    <x v="4"/>
    <s v="Accessories"/>
    <n v="43520.83"/>
    <n v="8625.06"/>
    <n v="7"/>
    <n v="34895.770000000004"/>
    <s v="April"/>
    <n v="0.8018176583488873"/>
    <m/>
    <m/>
  </r>
  <r>
    <s v="ORD00822"/>
    <s v="2025-09-03"/>
    <x v="3"/>
    <x v="4"/>
    <s v="Electronics"/>
    <n v="20215.810000000001"/>
    <n v="5865.98"/>
    <n v="8"/>
    <n v="14349.830000000002"/>
    <s v="September"/>
    <n v="0.70983205718692455"/>
    <m/>
    <m/>
  </r>
  <r>
    <s v="ORD00823"/>
    <s v="2025-08-18"/>
    <x v="0"/>
    <x v="4"/>
    <s v="Accessories"/>
    <n v="7439.75"/>
    <n v="654.02"/>
    <n v="7"/>
    <n v="6785.73"/>
    <s v="August"/>
    <n v="0.91209113209449233"/>
    <m/>
    <m/>
  </r>
  <r>
    <s v="ORD00824"/>
    <s v="2025-05-30"/>
    <x v="2"/>
    <x v="1"/>
    <s v="Office Supplies"/>
    <n v="25572.07"/>
    <n v="4264.7700000000004"/>
    <n v="8"/>
    <n v="21307.3"/>
    <s v="May"/>
    <n v="0.83322546825501409"/>
    <m/>
    <m/>
  </r>
  <r>
    <s v="ORD00825"/>
    <s v="2025-03-04"/>
    <x v="0"/>
    <x v="5"/>
    <s v="Electronics"/>
    <n v="18540.04"/>
    <n v="1193.71"/>
    <n v="10"/>
    <n v="17346.330000000002"/>
    <s v="March"/>
    <n v="0.93561448626863808"/>
    <m/>
    <m/>
  </r>
  <r>
    <s v="ORD00826"/>
    <s v="2025-10-25"/>
    <x v="2"/>
    <x v="3"/>
    <s v="Office Supplies"/>
    <n v="14860.91"/>
    <n v="2498.4699999999998"/>
    <n v="8"/>
    <n v="12362.44"/>
    <s v="October"/>
    <n v="0.83187637903735379"/>
    <m/>
    <m/>
  </r>
  <r>
    <s v="ORD00827"/>
    <s v="2025-02-04"/>
    <x v="1"/>
    <x v="4"/>
    <s v="Accessories"/>
    <n v="23697.919999999998"/>
    <n v="3834.69"/>
    <n v="1"/>
    <n v="19863.23"/>
    <s v="February"/>
    <n v="0.83818453265096693"/>
    <m/>
    <m/>
  </r>
  <r>
    <s v="ORD00828"/>
    <s v="2025-01-04"/>
    <x v="0"/>
    <x v="1"/>
    <s v="Office Supplies"/>
    <n v="23180.11"/>
    <n v="6072.63"/>
    <n v="12"/>
    <n v="17107.48"/>
    <s v="January"/>
    <n v="0.73802410773719362"/>
    <m/>
    <m/>
  </r>
  <r>
    <s v="ORD00829"/>
    <s v="2025-07-22"/>
    <x v="3"/>
    <x v="1"/>
    <s v="Electronics"/>
    <n v="17256.61"/>
    <n v="872.11"/>
    <n v="19"/>
    <n v="16384.5"/>
    <s v="July"/>
    <n v="0.94946226402520539"/>
    <m/>
    <m/>
  </r>
  <r>
    <s v="ORD00830"/>
    <s v="2025-12-22"/>
    <x v="2"/>
    <x v="0"/>
    <s v="Accessories"/>
    <n v="26585.08"/>
    <n v="3009.53"/>
    <n v="10"/>
    <n v="23575.550000000003"/>
    <s v="December"/>
    <n v="0.88679627821319329"/>
    <m/>
    <m/>
  </r>
  <r>
    <s v="ORD00831"/>
    <s v="2025-02-22"/>
    <x v="2"/>
    <x v="5"/>
    <s v="Electronics"/>
    <n v="40238.5"/>
    <n v="5902.07"/>
    <n v="5"/>
    <n v="34336.43"/>
    <s v="February"/>
    <n v="0.85332281272910271"/>
    <m/>
    <m/>
  </r>
  <r>
    <s v="ORD00832"/>
    <s v="2025-05-02"/>
    <x v="3"/>
    <x v="4"/>
    <s v="Electronics"/>
    <n v="10732.71"/>
    <n v="2684.5"/>
    <n v="6"/>
    <n v="8048.2099999999991"/>
    <s v="May"/>
    <n v="0.74987677855825785"/>
    <m/>
    <m/>
  </r>
  <r>
    <s v="ORD00833"/>
    <s v="2025-07-08"/>
    <x v="2"/>
    <x v="5"/>
    <s v="Office Supplies"/>
    <n v="28477.53"/>
    <n v="1612.33"/>
    <n v="9"/>
    <n v="26865.199999999997"/>
    <s v="July"/>
    <n v="0.94338237901952871"/>
    <m/>
    <m/>
  </r>
  <r>
    <s v="ORD00834"/>
    <s v="2025-02-08"/>
    <x v="1"/>
    <x v="0"/>
    <s v="Office Supplies"/>
    <n v="20979.97"/>
    <n v="6278.5"/>
    <n v="10"/>
    <n v="14701.470000000001"/>
    <s v="February"/>
    <n v="0.70073837093189362"/>
    <m/>
    <m/>
  </r>
  <r>
    <s v="ORD00835"/>
    <s v="2025-12-19"/>
    <x v="2"/>
    <x v="2"/>
    <s v="Office Supplies"/>
    <n v="5686.64"/>
    <n v="643.63"/>
    <n v="12"/>
    <n v="5043.01"/>
    <s v="December"/>
    <n v="0.88681717147559891"/>
    <m/>
    <m/>
  </r>
  <r>
    <s v="ORD00836"/>
    <s v="2025-11-28"/>
    <x v="3"/>
    <x v="5"/>
    <s v="Office Supplies"/>
    <n v="25739.119999999999"/>
    <n v="2731.93"/>
    <n v="4"/>
    <n v="23007.19"/>
    <s v="November"/>
    <n v="0.89386078467329111"/>
    <m/>
    <m/>
  </r>
  <r>
    <s v="ORD00837"/>
    <s v="2025-04-07"/>
    <x v="1"/>
    <x v="0"/>
    <s v="Electronics"/>
    <n v="20616.53"/>
    <n v="1308.1400000000001"/>
    <n v="3"/>
    <n v="19308.39"/>
    <s v="April"/>
    <n v="0.93654897308130902"/>
    <m/>
    <m/>
  </r>
  <r>
    <s v="ORD00838"/>
    <s v="2025-03-18"/>
    <x v="1"/>
    <x v="5"/>
    <s v="Accessories"/>
    <n v="15915.51"/>
    <n v="3350.76"/>
    <n v="8"/>
    <n v="12564.75"/>
    <s v="March"/>
    <n v="0.78946574756322607"/>
    <m/>
    <m/>
  </r>
  <r>
    <s v="ORD00839"/>
    <s v="2025-06-06"/>
    <x v="2"/>
    <x v="2"/>
    <s v="Accessories"/>
    <n v="41000.949999999997"/>
    <n v="11398.22"/>
    <n v="13"/>
    <n v="29602.729999999996"/>
    <s v="June"/>
    <n v="0.72200107558483395"/>
    <m/>
    <m/>
  </r>
  <r>
    <s v="ORD00840"/>
    <s v="2025-11-13"/>
    <x v="1"/>
    <x v="4"/>
    <s v="Electronics"/>
    <n v="11171.58"/>
    <n v="1893.35"/>
    <n v="6"/>
    <n v="9278.23"/>
    <s v="November"/>
    <n v="0.8305208394873419"/>
    <m/>
    <m/>
  </r>
  <r>
    <s v="ORD00841"/>
    <s v="2025-03-23"/>
    <x v="3"/>
    <x v="3"/>
    <s v="Electronics"/>
    <n v="43871.08"/>
    <n v="12344.14"/>
    <n v="14"/>
    <n v="31526.940000000002"/>
    <s v="March"/>
    <n v="0.7186269405722403"/>
    <m/>
    <m/>
  </r>
  <r>
    <s v="ORD00842"/>
    <s v="2025-11-14"/>
    <x v="1"/>
    <x v="5"/>
    <s v="Accessories"/>
    <n v="45645.59"/>
    <n v="13421.2"/>
    <n v="10"/>
    <n v="32224.389999999996"/>
    <s v="November"/>
    <n v="0.70596940471138614"/>
    <m/>
    <m/>
  </r>
  <r>
    <s v="ORD00843"/>
    <s v="2025-04-13"/>
    <x v="3"/>
    <x v="4"/>
    <s v="Office Supplies"/>
    <n v="13198.89"/>
    <n v="2546.29"/>
    <n v="8"/>
    <n v="10652.599999999999"/>
    <s v="April"/>
    <n v="0.8070830198600033"/>
    <m/>
    <m/>
  </r>
  <r>
    <s v="ORD00844"/>
    <s v="2025-08-21"/>
    <x v="0"/>
    <x v="5"/>
    <s v="Accessories"/>
    <n v="49886.01"/>
    <n v="7100.51"/>
    <n v="10"/>
    <n v="42785.5"/>
    <s v="August"/>
    <n v="0.85766530536316687"/>
    <m/>
    <m/>
  </r>
  <r>
    <s v="ORD00845"/>
    <s v="2025-03-03"/>
    <x v="1"/>
    <x v="4"/>
    <s v="Office Supplies"/>
    <n v="24242.44"/>
    <n v="4321.5600000000004"/>
    <n v="13"/>
    <n v="19920.879999999997"/>
    <s v="March"/>
    <n v="0.82173576587175212"/>
    <m/>
    <m/>
  </r>
  <r>
    <s v="ORD00846"/>
    <s v="2025-12-22"/>
    <x v="2"/>
    <x v="2"/>
    <s v="Electronics"/>
    <n v="25447.25"/>
    <n v="2525.77"/>
    <n v="6"/>
    <n v="22921.48"/>
    <s v="December"/>
    <n v="0.90074487420055216"/>
    <m/>
    <m/>
  </r>
  <r>
    <s v="ORD00847"/>
    <s v="2025-04-01"/>
    <x v="2"/>
    <x v="5"/>
    <s v="Office Supplies"/>
    <n v="4769.55"/>
    <n v="333.58"/>
    <n v="20"/>
    <n v="4435.97"/>
    <s v="April"/>
    <n v="0.93006048788669793"/>
    <m/>
    <m/>
  </r>
  <r>
    <s v="ORD00848"/>
    <s v="2025-05-06"/>
    <x v="1"/>
    <x v="5"/>
    <s v="Office Supplies"/>
    <n v="20050.86"/>
    <n v="5104.6099999999997"/>
    <n v="19"/>
    <n v="14946.25"/>
    <s v="May"/>
    <n v="0.74541690481106548"/>
    <m/>
    <m/>
  </r>
  <r>
    <s v="ORD00849"/>
    <s v="2025-11-16"/>
    <x v="0"/>
    <x v="4"/>
    <s v="Electronics"/>
    <n v="29405.83"/>
    <n v="4016.17"/>
    <n v="10"/>
    <n v="25389.660000000003"/>
    <s v="November"/>
    <n v="0.86342266142462232"/>
    <m/>
    <m/>
  </r>
  <r>
    <s v="ORD00850"/>
    <s v="2025-03-10"/>
    <x v="2"/>
    <x v="0"/>
    <s v="Office Supplies"/>
    <n v="43700.4"/>
    <n v="9824.2199999999993"/>
    <n v="5"/>
    <n v="33876.18"/>
    <s v="March"/>
    <n v="0.77519153142762998"/>
    <m/>
    <m/>
  </r>
  <r>
    <s v="ORD00851"/>
    <s v="2025-09-02"/>
    <x v="0"/>
    <x v="4"/>
    <s v="Office Supplies"/>
    <n v="47524.959999999999"/>
    <n v="7545.22"/>
    <n v="15"/>
    <n v="39979.74"/>
    <s v="September"/>
    <n v="0.84123668909979088"/>
    <m/>
    <m/>
  </r>
  <r>
    <s v="ORD00852"/>
    <s v="2025-07-26"/>
    <x v="1"/>
    <x v="0"/>
    <s v="Office Supplies"/>
    <n v="21230.63"/>
    <n v="6349.7"/>
    <n v="12"/>
    <n v="14880.93"/>
    <s v="July"/>
    <n v="0.70091796616492297"/>
    <m/>
    <m/>
  </r>
  <r>
    <s v="ORD00853"/>
    <s v="2025-02-07"/>
    <x v="1"/>
    <x v="5"/>
    <s v="Electronics"/>
    <n v="40582.25"/>
    <n v="11464.55"/>
    <n v="7"/>
    <n v="29117.7"/>
    <s v="February"/>
    <n v="0.71749841371535583"/>
    <m/>
    <m/>
  </r>
  <r>
    <s v="ORD00854"/>
    <s v="2025-01-31"/>
    <x v="3"/>
    <x v="5"/>
    <s v="Accessories"/>
    <n v="31949.27"/>
    <n v="4792.2700000000004"/>
    <n v="11"/>
    <n v="27157"/>
    <s v="January"/>
    <n v="0.85000377160417118"/>
    <m/>
    <m/>
  </r>
  <r>
    <s v="ORD00855"/>
    <s v="2025-07-27"/>
    <x v="0"/>
    <x v="1"/>
    <s v="Office Supplies"/>
    <n v="46302.92"/>
    <n v="12931.78"/>
    <n v="5"/>
    <n v="33371.14"/>
    <s v="July"/>
    <n v="0.72071351007668627"/>
    <m/>
    <m/>
  </r>
  <r>
    <s v="ORD00856"/>
    <s v="2025-01-27"/>
    <x v="0"/>
    <x v="1"/>
    <s v="Accessories"/>
    <n v="33094.629999999997"/>
    <n v="9593.9599999999991"/>
    <n v="10"/>
    <n v="23500.67"/>
    <s v="January"/>
    <n v="0.7101052345954616"/>
    <m/>
    <m/>
  </r>
  <r>
    <s v="ORD00857"/>
    <s v="2025-08-31"/>
    <x v="3"/>
    <x v="0"/>
    <s v="Accessories"/>
    <n v="37448.69"/>
    <n v="9703.6299999999992"/>
    <n v="3"/>
    <n v="27745.060000000005"/>
    <s v="August"/>
    <n v="0.74088199079861017"/>
    <m/>
    <m/>
  </r>
  <r>
    <s v="ORD00858"/>
    <s v="2025-03-21"/>
    <x v="3"/>
    <x v="1"/>
    <s v="Accessories"/>
    <n v="45008.74"/>
    <n v="3027.96"/>
    <n v="2"/>
    <n v="41980.78"/>
    <s v="March"/>
    <n v="0.93272506628712559"/>
    <m/>
    <m/>
  </r>
  <r>
    <s v="ORD00859"/>
    <s v="2025-10-29"/>
    <x v="3"/>
    <x v="4"/>
    <s v="Office Supplies"/>
    <n v="28792.14"/>
    <n v="6358.18"/>
    <n v="16"/>
    <n v="22433.96"/>
    <s v="October"/>
    <n v="0.77916959281248288"/>
    <m/>
    <m/>
  </r>
  <r>
    <s v="ORD00860"/>
    <s v="2025-09-09"/>
    <x v="3"/>
    <x v="3"/>
    <s v="Accessories"/>
    <n v="1359.63"/>
    <n v="360.72"/>
    <n v="3"/>
    <n v="998.91000000000008"/>
    <s v="September"/>
    <n v="0.734692526643278"/>
    <m/>
    <m/>
  </r>
  <r>
    <s v="ORD00861"/>
    <s v="2025-01-13"/>
    <x v="3"/>
    <x v="5"/>
    <s v="Office Supplies"/>
    <n v="33003.69"/>
    <n v="7533"/>
    <n v="11"/>
    <n v="25470.690000000002"/>
    <s v="January"/>
    <n v="0.77175279491475046"/>
    <m/>
    <m/>
  </r>
  <r>
    <s v="ORD00862"/>
    <s v="2025-05-23"/>
    <x v="1"/>
    <x v="4"/>
    <s v="Office Supplies"/>
    <n v="39403.33"/>
    <n v="6789.9"/>
    <n v="3"/>
    <n v="32613.43"/>
    <s v="May"/>
    <n v="0.82768207661636717"/>
    <m/>
    <m/>
  </r>
  <r>
    <s v="ORD00863"/>
    <s v="2025-02-23"/>
    <x v="2"/>
    <x v="3"/>
    <s v="Accessories"/>
    <n v="25620.73"/>
    <n v="2523.6"/>
    <n v="18"/>
    <n v="23097.13"/>
    <s v="February"/>
    <n v="0.90150163558961827"/>
    <m/>
    <m/>
  </r>
  <r>
    <s v="ORD00864"/>
    <s v="2025-04-19"/>
    <x v="2"/>
    <x v="4"/>
    <s v="Office Supplies"/>
    <n v="11627.97"/>
    <n v="1302.45"/>
    <n v="18"/>
    <n v="10325.519999999999"/>
    <s v="April"/>
    <n v="0.88798990709470349"/>
    <m/>
    <m/>
  </r>
  <r>
    <s v="ORD00865"/>
    <s v="2025-02-16"/>
    <x v="1"/>
    <x v="0"/>
    <s v="Office Supplies"/>
    <n v="12809.89"/>
    <n v="2334.2800000000002"/>
    <n v="10"/>
    <n v="10475.609999999999"/>
    <s v="February"/>
    <n v="0.81777517215214179"/>
    <m/>
    <m/>
  </r>
  <r>
    <s v="ORD00866"/>
    <s v="2025-06-11"/>
    <x v="1"/>
    <x v="3"/>
    <s v="Office Supplies"/>
    <n v="43375.69"/>
    <n v="8650.4599999999991"/>
    <n v="17"/>
    <n v="34725.230000000003"/>
    <s v="June"/>
    <n v="0.80056893619444447"/>
    <m/>
    <m/>
  </r>
  <r>
    <s v="ORD00867"/>
    <s v="2025-12-02"/>
    <x v="2"/>
    <x v="0"/>
    <s v="Electronics"/>
    <n v="38730.78"/>
    <n v="4283.04"/>
    <n v="5"/>
    <n v="34447.74"/>
    <s v="December"/>
    <n v="0.88941508536621261"/>
    <m/>
    <m/>
  </r>
  <r>
    <s v="ORD00868"/>
    <s v="2025-10-10"/>
    <x v="3"/>
    <x v="1"/>
    <s v="Electronics"/>
    <n v="28147.72"/>
    <n v="2289.5700000000002"/>
    <n v="7"/>
    <n v="25858.15"/>
    <s v="October"/>
    <n v="0.91865877591506528"/>
    <m/>
    <m/>
  </r>
  <r>
    <s v="ORD00869"/>
    <s v="2025-01-06"/>
    <x v="1"/>
    <x v="2"/>
    <s v="Accessories"/>
    <n v="32337.31"/>
    <n v="4983.67"/>
    <n v="11"/>
    <n v="27353.64"/>
    <s v="January"/>
    <n v="0.84588483086564714"/>
    <m/>
    <m/>
  </r>
  <r>
    <s v="ORD00870"/>
    <s v="2025-04-18"/>
    <x v="1"/>
    <x v="5"/>
    <s v="Electronics"/>
    <n v="47774.239999999998"/>
    <n v="14229.14"/>
    <n v="12"/>
    <n v="33545.1"/>
    <s v="April"/>
    <n v="0.70215873659110017"/>
    <m/>
    <m/>
  </r>
  <r>
    <s v="ORD00871"/>
    <s v="2025-01-14"/>
    <x v="3"/>
    <x v="1"/>
    <s v="Electronics"/>
    <n v="29756.39"/>
    <n v="1914.92"/>
    <n v="18"/>
    <n v="27841.47"/>
    <s v="January"/>
    <n v="0.9356467636027086"/>
    <m/>
    <m/>
  </r>
  <r>
    <s v="ORD00872"/>
    <s v="2025-05-08"/>
    <x v="2"/>
    <x v="2"/>
    <s v="Accessories"/>
    <n v="20401.36"/>
    <n v="4869.74"/>
    <n v="6"/>
    <n v="15531.62"/>
    <s v="May"/>
    <n v="0.76130316802409248"/>
    <m/>
    <m/>
  </r>
  <r>
    <s v="ORD00873"/>
    <s v="2025-11-29"/>
    <x v="1"/>
    <x v="2"/>
    <s v="Electronics"/>
    <n v="6072.1"/>
    <n v="1461.96"/>
    <n v="18"/>
    <n v="4610.1400000000003"/>
    <s v="November"/>
    <n v="0.75923321420925216"/>
    <m/>
    <m/>
  </r>
  <r>
    <s v="ORD00874"/>
    <s v="2025-06-10"/>
    <x v="0"/>
    <x v="3"/>
    <s v="Office Supplies"/>
    <n v="34376.870000000003"/>
    <n v="4721.4399999999996"/>
    <n v="4"/>
    <n v="29655.430000000004"/>
    <s v="June"/>
    <n v="0.86265648966878028"/>
    <m/>
    <m/>
  </r>
  <r>
    <s v="ORD00875"/>
    <s v="2025-07-31"/>
    <x v="3"/>
    <x v="2"/>
    <s v="Electronics"/>
    <n v="25067"/>
    <n v="1864.92"/>
    <n v="18"/>
    <n v="23202.080000000002"/>
    <s v="July"/>
    <n v="0.9256025850720071"/>
    <m/>
    <m/>
  </r>
  <r>
    <s v="ORD00876"/>
    <s v="2025-12-03"/>
    <x v="1"/>
    <x v="2"/>
    <s v="Office Supplies"/>
    <n v="26722.81"/>
    <n v="1764.33"/>
    <n v="14"/>
    <n v="24958.480000000003"/>
    <s v="December"/>
    <n v="0.93397662895481437"/>
    <m/>
    <m/>
  </r>
  <r>
    <s v="ORD00877"/>
    <s v="2025-01-29"/>
    <x v="1"/>
    <x v="5"/>
    <s v="Accessories"/>
    <n v="49572.4"/>
    <n v="6757.8"/>
    <n v="7"/>
    <n v="42814.6"/>
    <s v="January"/>
    <n v="0.86367817575909167"/>
    <m/>
    <m/>
  </r>
  <r>
    <s v="ORD00878"/>
    <s v="2025-01-08"/>
    <x v="2"/>
    <x v="2"/>
    <s v="Office Supplies"/>
    <n v="17086.509999999998"/>
    <n v="1759.28"/>
    <n v="6"/>
    <n v="15327.229999999998"/>
    <s v="January"/>
    <n v="0.8970369022111595"/>
    <m/>
    <m/>
  </r>
  <r>
    <s v="ORD00879"/>
    <s v="2025-05-09"/>
    <x v="2"/>
    <x v="2"/>
    <s v="Electronics"/>
    <n v="28338.29"/>
    <n v="6574.08"/>
    <n v="9"/>
    <n v="21764.21"/>
    <s v="May"/>
    <n v="0.76801423092219034"/>
    <m/>
    <m/>
  </r>
  <r>
    <s v="ORD00880"/>
    <s v="2025-05-31"/>
    <x v="1"/>
    <x v="1"/>
    <s v="Electronics"/>
    <n v="13659.09"/>
    <n v="2621.67"/>
    <n v="15"/>
    <n v="11037.42"/>
    <s v="May"/>
    <n v="0.80806408040359934"/>
    <m/>
    <m/>
  </r>
  <r>
    <s v="ORD00881"/>
    <s v="2025-11-01"/>
    <x v="0"/>
    <x v="1"/>
    <s v="Accessories"/>
    <n v="39034.199999999997"/>
    <n v="6471.29"/>
    <n v="19"/>
    <n v="32562.909999999996"/>
    <s v="November"/>
    <n v="0.83421486798755962"/>
    <m/>
    <m/>
  </r>
  <r>
    <s v="ORD00882"/>
    <s v="2025-01-11"/>
    <x v="0"/>
    <x v="3"/>
    <s v="Office Supplies"/>
    <n v="31290.69"/>
    <n v="6497.11"/>
    <n v="13"/>
    <n v="24793.579999999998"/>
    <s v="January"/>
    <n v="0.79236284019304137"/>
    <m/>
    <m/>
  </r>
  <r>
    <s v="ORD00883"/>
    <s v="2025-09-15"/>
    <x v="1"/>
    <x v="5"/>
    <s v="Accessories"/>
    <n v="24972.9"/>
    <n v="1465.18"/>
    <n v="7"/>
    <n v="23507.72"/>
    <s v="September"/>
    <n v="0.9413292008537254"/>
    <m/>
    <m/>
  </r>
  <r>
    <s v="ORD00884"/>
    <s v="2025-10-16"/>
    <x v="1"/>
    <x v="4"/>
    <s v="Office Supplies"/>
    <n v="34671.300000000003"/>
    <n v="2437.9899999999998"/>
    <n v="10"/>
    <n v="32233.310000000005"/>
    <s v="October"/>
    <n v="0.92968276355371737"/>
    <m/>
    <m/>
  </r>
  <r>
    <s v="ORD00885"/>
    <s v="2025-01-31"/>
    <x v="3"/>
    <x v="1"/>
    <s v="Accessories"/>
    <n v="41889.33"/>
    <n v="5334.95"/>
    <n v="14"/>
    <n v="36554.380000000005"/>
    <s v="January"/>
    <n v="0.87264179207449732"/>
    <m/>
    <m/>
  </r>
  <r>
    <s v="ORD00886"/>
    <s v="2025-06-22"/>
    <x v="0"/>
    <x v="3"/>
    <s v="Office Supplies"/>
    <n v="17209.86"/>
    <n v="4095.29"/>
    <n v="9"/>
    <n v="13114.57"/>
    <s v="June"/>
    <n v="0.76203815719593304"/>
    <m/>
    <m/>
  </r>
  <r>
    <s v="ORD00887"/>
    <s v="2025-02-11"/>
    <x v="2"/>
    <x v="5"/>
    <s v="Office Supplies"/>
    <n v="48914.74"/>
    <n v="13774.94"/>
    <n v="8"/>
    <n v="35139.799999999996"/>
    <s v="February"/>
    <n v="0.71838877197343776"/>
    <m/>
    <m/>
  </r>
  <r>
    <s v="ORD00888"/>
    <s v="2025-05-20"/>
    <x v="3"/>
    <x v="4"/>
    <s v="Office Supplies"/>
    <n v="43162.25"/>
    <n v="7784.32"/>
    <n v="6"/>
    <n v="35377.93"/>
    <s v="May"/>
    <n v="0.81964980972956691"/>
    <m/>
    <m/>
  </r>
  <r>
    <s v="ORD00889"/>
    <s v="2025-06-20"/>
    <x v="1"/>
    <x v="0"/>
    <s v="Electronics"/>
    <n v="34495.33"/>
    <n v="3646.93"/>
    <n v="15"/>
    <n v="30848.400000000001"/>
    <s v="June"/>
    <n v="0.89427757322512935"/>
    <m/>
    <m/>
  </r>
  <r>
    <s v="ORD00890"/>
    <s v="2025-03-31"/>
    <x v="2"/>
    <x v="1"/>
    <s v="Electronics"/>
    <n v="9472.5300000000007"/>
    <n v="1302.95"/>
    <n v="7"/>
    <n v="8169.5800000000008"/>
    <s v="March"/>
    <n v="0.86244963066889213"/>
    <m/>
    <m/>
  </r>
  <r>
    <s v="ORD00891"/>
    <s v="2025-11-30"/>
    <x v="1"/>
    <x v="3"/>
    <s v="Electronics"/>
    <n v="27667.35"/>
    <n v="2294.11"/>
    <n v="14"/>
    <n v="25373.239999999998"/>
    <s v="November"/>
    <n v="0.91708240941037"/>
    <m/>
    <m/>
  </r>
  <r>
    <s v="ORD00892"/>
    <s v="2025-06-29"/>
    <x v="2"/>
    <x v="4"/>
    <s v="Accessories"/>
    <n v="37687.89"/>
    <n v="5284.47"/>
    <n v="7"/>
    <n v="32403.42"/>
    <s v="June"/>
    <n v="0.85978334154552027"/>
    <m/>
    <m/>
  </r>
  <r>
    <s v="ORD00893"/>
    <s v="2025-01-02"/>
    <x v="1"/>
    <x v="5"/>
    <s v="Electronics"/>
    <n v="15994.29"/>
    <n v="2307.65"/>
    <n v="9"/>
    <n v="13686.640000000001"/>
    <s v="January"/>
    <n v="0.85572038521247273"/>
    <m/>
    <m/>
  </r>
  <r>
    <s v="ORD00894"/>
    <s v="2025-12-24"/>
    <x v="0"/>
    <x v="5"/>
    <s v="Office Supplies"/>
    <n v="30242.959999999999"/>
    <n v="6177.48"/>
    <n v="4"/>
    <n v="24065.48"/>
    <s v="December"/>
    <n v="0.79573824784346503"/>
    <m/>
    <m/>
  </r>
  <r>
    <s v="ORD00895"/>
    <s v="2025-12-12"/>
    <x v="0"/>
    <x v="0"/>
    <s v="Office Supplies"/>
    <n v="32579.99"/>
    <n v="1988.83"/>
    <n v="11"/>
    <n v="30591.160000000003"/>
    <s v="December"/>
    <n v="0.93895547543139213"/>
    <m/>
    <m/>
  </r>
  <r>
    <s v="ORD00896"/>
    <s v="2025-10-16"/>
    <x v="3"/>
    <x v="1"/>
    <s v="Office Supplies"/>
    <n v="37707.97"/>
    <n v="8013.21"/>
    <n v="12"/>
    <n v="29694.760000000002"/>
    <s v="October"/>
    <n v="0.78749293584353652"/>
    <m/>
    <m/>
  </r>
  <r>
    <s v="ORD00897"/>
    <s v="2025-09-23"/>
    <x v="3"/>
    <x v="5"/>
    <s v="Electronics"/>
    <n v="2471.2399999999998"/>
    <n v="290.44"/>
    <n v="5"/>
    <n v="2180.7999999999997"/>
    <s v="September"/>
    <n v="0.88247195739790552"/>
    <m/>
    <m/>
  </r>
  <r>
    <s v="ORD00898"/>
    <s v="2025-05-22"/>
    <x v="3"/>
    <x v="2"/>
    <s v="Accessories"/>
    <n v="36593.19"/>
    <n v="9189.61"/>
    <n v="7"/>
    <n v="27403.58"/>
    <s v="May"/>
    <n v="0.74887103310752634"/>
    <m/>
    <m/>
  </r>
  <r>
    <s v="ORD00899"/>
    <s v="2025-05-21"/>
    <x v="1"/>
    <x v="4"/>
    <s v="Electronics"/>
    <n v="11462"/>
    <n v="1320.66"/>
    <n v="16"/>
    <n v="10141.34"/>
    <s v="May"/>
    <n v="0.88477927063339734"/>
    <m/>
    <m/>
  </r>
  <r>
    <s v="ORD00900"/>
    <s v="2025-09-16"/>
    <x v="1"/>
    <x v="5"/>
    <s v="Electronics"/>
    <n v="49864.11"/>
    <n v="12795.06"/>
    <n v="7"/>
    <n v="37069.050000000003"/>
    <s v="September"/>
    <n v="0.74340141636940882"/>
    <m/>
    <m/>
  </r>
  <r>
    <s v="ORD00901"/>
    <s v="2025-10-03"/>
    <x v="2"/>
    <x v="0"/>
    <s v="Accessories"/>
    <n v="27723.15"/>
    <n v="6054.72"/>
    <n v="20"/>
    <n v="21668.43"/>
    <s v="October"/>
    <n v="0.78160057569215613"/>
    <m/>
    <m/>
  </r>
  <r>
    <s v="ORD00902"/>
    <s v="2025-04-21"/>
    <x v="2"/>
    <x v="4"/>
    <s v="Accessories"/>
    <n v="18589.810000000001"/>
    <n v="4750.54"/>
    <n v="12"/>
    <n v="13839.27"/>
    <s v="April"/>
    <n v="0.74445462325865619"/>
    <m/>
    <m/>
  </r>
  <r>
    <s v="ORD00903"/>
    <s v="2025-08-20"/>
    <x v="0"/>
    <x v="1"/>
    <s v="Electronics"/>
    <n v="19358.16"/>
    <n v="2140.98"/>
    <n v="13"/>
    <n v="17217.18"/>
    <s v="August"/>
    <n v="0.88940167867193987"/>
    <m/>
    <m/>
  </r>
  <r>
    <s v="ORD00904"/>
    <s v="2025-09-07"/>
    <x v="0"/>
    <x v="3"/>
    <s v="Accessories"/>
    <n v="46835.88"/>
    <n v="6441.94"/>
    <n v="13"/>
    <n v="40393.939999999995"/>
    <s v="September"/>
    <n v="0.86245715891320918"/>
    <m/>
    <m/>
  </r>
  <r>
    <s v="ORD00905"/>
    <s v="2025-06-29"/>
    <x v="2"/>
    <x v="1"/>
    <s v="Accessories"/>
    <n v="29752.2"/>
    <n v="6908.42"/>
    <n v="19"/>
    <n v="22843.78"/>
    <s v="June"/>
    <n v="0.76780137267160065"/>
    <m/>
    <m/>
  </r>
  <r>
    <s v="ORD00906"/>
    <s v="2025-01-09"/>
    <x v="0"/>
    <x v="3"/>
    <s v="Accessories"/>
    <n v="32243.97"/>
    <n v="4235.72"/>
    <n v="3"/>
    <n v="28008.25"/>
    <s v="January"/>
    <n v="0.86863528281411995"/>
    <m/>
    <m/>
  </r>
  <r>
    <s v="ORD00907"/>
    <s v="2025-02-19"/>
    <x v="3"/>
    <x v="1"/>
    <s v="Accessories"/>
    <n v="28730.639999999999"/>
    <n v="5258.09"/>
    <n v="6"/>
    <n v="23472.55"/>
    <s v="February"/>
    <n v="0.816986673460807"/>
    <m/>
    <m/>
  </r>
  <r>
    <s v="ORD00908"/>
    <s v="2025-01-24"/>
    <x v="3"/>
    <x v="4"/>
    <s v="Office Supplies"/>
    <n v="14698.46"/>
    <n v="1185.26"/>
    <n v="5"/>
    <n v="13513.199999999999"/>
    <s v="January"/>
    <n v="0.91936162019694578"/>
    <m/>
    <m/>
  </r>
  <r>
    <s v="ORD00909"/>
    <s v="2025-08-27"/>
    <x v="2"/>
    <x v="3"/>
    <s v="Office Supplies"/>
    <n v="29760.3"/>
    <n v="7688.41"/>
    <n v="5"/>
    <n v="22071.89"/>
    <s v="August"/>
    <n v="0.74165549406423992"/>
    <m/>
    <m/>
  </r>
  <r>
    <s v="ORD00910"/>
    <s v="2025-04-16"/>
    <x v="0"/>
    <x v="2"/>
    <s v="Accessories"/>
    <n v="29062.65"/>
    <n v="3257.96"/>
    <n v="13"/>
    <n v="25804.690000000002"/>
    <s v="April"/>
    <n v="0.88789872912483891"/>
    <m/>
    <m/>
  </r>
  <r>
    <s v="ORD00911"/>
    <s v="2025-06-19"/>
    <x v="2"/>
    <x v="1"/>
    <s v="Electronics"/>
    <n v="42571.22"/>
    <n v="3551.74"/>
    <n v="2"/>
    <n v="39019.480000000003"/>
    <s v="June"/>
    <n v="0.91656945701814518"/>
    <m/>
    <m/>
  </r>
  <r>
    <s v="ORD00912"/>
    <s v="2025-02-26"/>
    <x v="2"/>
    <x v="0"/>
    <s v="Electronics"/>
    <n v="3034.97"/>
    <n v="253.84"/>
    <n v="19"/>
    <n v="2781.1299999999997"/>
    <s v="February"/>
    <n v="0.91636161148215622"/>
    <m/>
    <m/>
  </r>
  <r>
    <s v="ORD00913"/>
    <s v="2025-08-30"/>
    <x v="3"/>
    <x v="0"/>
    <s v="Accessories"/>
    <n v="7427.76"/>
    <n v="2194.3000000000002"/>
    <n v="4"/>
    <n v="5233.46"/>
    <s v="August"/>
    <n v="0.7045811927148965"/>
    <m/>
    <m/>
  </r>
  <r>
    <s v="ORD00914"/>
    <s v="2025-09-10"/>
    <x v="1"/>
    <x v="5"/>
    <s v="Electronics"/>
    <n v="10553.04"/>
    <n v="2896.6"/>
    <n v="12"/>
    <n v="7656.4400000000005"/>
    <s v="September"/>
    <n v="0.72551985020430132"/>
    <m/>
    <m/>
  </r>
  <r>
    <s v="ORD00915"/>
    <s v="2025-02-20"/>
    <x v="3"/>
    <x v="1"/>
    <s v="Office Supplies"/>
    <n v="2638.01"/>
    <n v="557.35"/>
    <n v="20"/>
    <n v="2080.6600000000003"/>
    <s v="February"/>
    <n v="0.78872331795558015"/>
    <m/>
    <m/>
  </r>
  <r>
    <s v="ORD00916"/>
    <s v="2025-06-22"/>
    <x v="1"/>
    <x v="2"/>
    <s v="Electronics"/>
    <n v="39221.49"/>
    <n v="8798.25"/>
    <n v="14"/>
    <n v="30423.239999999998"/>
    <s v="June"/>
    <n v="0.77567782356050219"/>
    <m/>
    <m/>
  </r>
  <r>
    <s v="ORD00917"/>
    <s v="2025-10-13"/>
    <x v="0"/>
    <x v="4"/>
    <s v="Office Supplies"/>
    <n v="22876.27"/>
    <n v="2283.33"/>
    <n v="6"/>
    <n v="20592.940000000002"/>
    <s v="October"/>
    <n v="0.90018783656601364"/>
    <m/>
    <m/>
  </r>
  <r>
    <s v="ORD00918"/>
    <s v="2025-10-02"/>
    <x v="1"/>
    <x v="4"/>
    <s v="Electronics"/>
    <n v="24741.360000000001"/>
    <n v="3206.69"/>
    <n v="5"/>
    <n v="21534.670000000002"/>
    <s v="October"/>
    <n v="0.87039152253554375"/>
    <m/>
    <m/>
  </r>
  <r>
    <s v="ORD00919"/>
    <s v="2025-01-24"/>
    <x v="2"/>
    <x v="2"/>
    <s v="Accessories"/>
    <n v="9536.2000000000007"/>
    <n v="1275.32"/>
    <n v="14"/>
    <n v="8260.880000000001"/>
    <s v="January"/>
    <n v="0.86626538872926329"/>
    <m/>
    <m/>
  </r>
  <r>
    <s v="ORD00920"/>
    <s v="2025-11-25"/>
    <x v="0"/>
    <x v="0"/>
    <s v="Office Supplies"/>
    <n v="23428.17"/>
    <n v="4967.09"/>
    <n v="4"/>
    <n v="18461.079999999998"/>
    <s v="November"/>
    <n v="0.78798642830404597"/>
    <m/>
    <m/>
  </r>
  <r>
    <s v="ORD00921"/>
    <s v="2025-05-12"/>
    <x v="0"/>
    <x v="5"/>
    <s v="Office Supplies"/>
    <n v="45353.89"/>
    <n v="10981.42"/>
    <n v="11"/>
    <n v="34372.47"/>
    <s v="May"/>
    <n v="0.75787258821679904"/>
    <m/>
    <m/>
  </r>
  <r>
    <s v="ORD00922"/>
    <s v="2025-04-22"/>
    <x v="0"/>
    <x v="4"/>
    <s v="Office Supplies"/>
    <n v="39455.47"/>
    <n v="6561.55"/>
    <n v="6"/>
    <n v="32893.919999999998"/>
    <s v="April"/>
    <n v="0.83369733018007386"/>
    <m/>
    <m/>
  </r>
  <r>
    <s v="ORD00923"/>
    <s v="2025-08-16"/>
    <x v="3"/>
    <x v="0"/>
    <s v="Office Supplies"/>
    <n v="41531.46"/>
    <n v="2549.59"/>
    <n v="13"/>
    <n v="38981.869999999995"/>
    <s v="August"/>
    <n v="0.93861063396278377"/>
    <m/>
    <m/>
  </r>
  <r>
    <s v="ORD00924"/>
    <s v="2025-03-28"/>
    <x v="3"/>
    <x v="2"/>
    <s v="Office Supplies"/>
    <n v="27236.25"/>
    <n v="2742.06"/>
    <n v="4"/>
    <n v="24494.19"/>
    <s v="March"/>
    <n v="0.89932314470604424"/>
    <m/>
    <m/>
  </r>
  <r>
    <s v="ORD00925"/>
    <s v="2025-09-29"/>
    <x v="1"/>
    <x v="1"/>
    <s v="Electronics"/>
    <n v="5715.25"/>
    <n v="857.45"/>
    <n v="13"/>
    <n v="4857.8"/>
    <s v="September"/>
    <n v="0.84997156729801848"/>
    <m/>
    <m/>
  </r>
  <r>
    <s v="ORD00926"/>
    <s v="2025-12-29"/>
    <x v="3"/>
    <x v="1"/>
    <s v="Electronics"/>
    <n v="41231.54"/>
    <n v="12048.53"/>
    <n v="8"/>
    <n v="29183.010000000002"/>
    <s v="December"/>
    <n v="0.7077836529996212"/>
    <m/>
    <m/>
  </r>
  <r>
    <s v="ORD00927"/>
    <s v="2025-12-02"/>
    <x v="3"/>
    <x v="1"/>
    <s v="Accessories"/>
    <n v="45217.1"/>
    <n v="13328.4"/>
    <n v="14"/>
    <n v="31888.699999999997"/>
    <s v="December"/>
    <n v="0.70523540872811386"/>
    <m/>
    <m/>
  </r>
  <r>
    <s v="ORD00928"/>
    <s v="2025-08-13"/>
    <x v="3"/>
    <x v="0"/>
    <s v="Office Supplies"/>
    <n v="40864.19"/>
    <n v="2842.66"/>
    <n v="16"/>
    <n v="38021.53"/>
    <s v="August"/>
    <n v="0.93043640409855177"/>
    <m/>
    <m/>
  </r>
  <r>
    <s v="ORD00929"/>
    <s v="2025-05-09"/>
    <x v="3"/>
    <x v="3"/>
    <s v="Electronics"/>
    <n v="12609.07"/>
    <n v="2473.4299999999998"/>
    <n v="7"/>
    <n v="10135.64"/>
    <s v="May"/>
    <n v="0.80383723779787086"/>
    <m/>
    <m/>
  </r>
  <r>
    <s v="ORD00930"/>
    <s v="2025-04-16"/>
    <x v="1"/>
    <x v="4"/>
    <s v="Accessories"/>
    <n v="32819.49"/>
    <n v="8336.5300000000007"/>
    <n v="10"/>
    <n v="24482.959999999999"/>
    <s v="April"/>
    <n v="0.7459884355302292"/>
    <m/>
    <m/>
  </r>
  <r>
    <s v="ORD00931"/>
    <s v="2025-06-24"/>
    <x v="0"/>
    <x v="1"/>
    <s v="Accessories"/>
    <n v="15246.15"/>
    <n v="2856.31"/>
    <n v="17"/>
    <n v="12389.84"/>
    <s v="June"/>
    <n v="0.81265368634048596"/>
    <m/>
    <m/>
  </r>
  <r>
    <s v="ORD00932"/>
    <s v="2025-09-26"/>
    <x v="2"/>
    <x v="0"/>
    <s v="Accessories"/>
    <n v="24126.25"/>
    <n v="4229.3100000000004"/>
    <n v="17"/>
    <n v="19896.939999999999"/>
    <s v="September"/>
    <n v="0.82470089632661514"/>
    <m/>
    <m/>
  </r>
  <r>
    <s v="ORD00933"/>
    <s v="2025-11-12"/>
    <x v="3"/>
    <x v="4"/>
    <s v="Electronics"/>
    <n v="23088.36"/>
    <n v="4754.08"/>
    <n v="15"/>
    <n v="18334.28"/>
    <s v="November"/>
    <n v="0.79409191471373441"/>
    <m/>
    <m/>
  </r>
  <r>
    <s v="ORD00934"/>
    <s v="2025-07-10"/>
    <x v="0"/>
    <x v="5"/>
    <s v="Office Supplies"/>
    <n v="21680.46"/>
    <n v="5454.05"/>
    <n v="12"/>
    <n v="16226.41"/>
    <s v="July"/>
    <n v="0.74843476568301592"/>
    <m/>
    <m/>
  </r>
  <r>
    <s v="ORD00935"/>
    <s v="2025-10-15"/>
    <x v="2"/>
    <x v="0"/>
    <s v="Accessories"/>
    <n v="23330.71"/>
    <n v="6449.24"/>
    <n v="8"/>
    <n v="16881.47"/>
    <s v="October"/>
    <n v="0.72357292169848242"/>
    <m/>
    <m/>
  </r>
  <r>
    <s v="ORD00936"/>
    <s v="2025-11-15"/>
    <x v="2"/>
    <x v="2"/>
    <s v="Accessories"/>
    <n v="24751.49"/>
    <n v="7043.87"/>
    <n v="1"/>
    <n v="17707.620000000003"/>
    <s v="November"/>
    <n v="0.7154163244313777"/>
    <m/>
    <m/>
  </r>
  <r>
    <s v="ORD00937"/>
    <s v="2025-05-15"/>
    <x v="2"/>
    <x v="2"/>
    <s v="Accessories"/>
    <n v="11215.25"/>
    <n v="1345.69"/>
    <n v="17"/>
    <n v="9869.56"/>
    <s v="May"/>
    <n v="0.88001248300305379"/>
    <m/>
    <m/>
  </r>
  <r>
    <s v="ORD00938"/>
    <s v="2025-08-12"/>
    <x v="3"/>
    <x v="0"/>
    <s v="Electronics"/>
    <n v="35586.74"/>
    <n v="2586.37"/>
    <n v="18"/>
    <n v="33000.369999999995"/>
    <s v="August"/>
    <n v="0.92732208682222639"/>
    <m/>
    <m/>
  </r>
  <r>
    <s v="ORD00939"/>
    <s v="2025-05-08"/>
    <x v="3"/>
    <x v="5"/>
    <s v="Electronics"/>
    <n v="21803"/>
    <n v="5907.03"/>
    <n v="15"/>
    <n v="15895.970000000001"/>
    <s v="May"/>
    <n v="0.7290726046874284"/>
    <m/>
    <m/>
  </r>
  <r>
    <s v="ORD00940"/>
    <s v="2025-11-04"/>
    <x v="1"/>
    <x v="0"/>
    <s v="Accessories"/>
    <n v="26579.87"/>
    <n v="2822.86"/>
    <n v="4"/>
    <n v="23757.01"/>
    <s v="November"/>
    <n v="0.89379707274715792"/>
    <m/>
    <m/>
  </r>
  <r>
    <s v="ORD00941"/>
    <s v="2025-09-13"/>
    <x v="2"/>
    <x v="2"/>
    <s v="Office Supplies"/>
    <n v="20569.8"/>
    <n v="2611.25"/>
    <n v="19"/>
    <n v="17958.55"/>
    <s v="September"/>
    <n v="0.87305418623418796"/>
    <m/>
    <m/>
  </r>
  <r>
    <s v="ORD00942"/>
    <s v="2025-04-13"/>
    <x v="2"/>
    <x v="3"/>
    <s v="Accessories"/>
    <n v="43991.92"/>
    <n v="5476.76"/>
    <n v="15"/>
    <n v="38515.159999999996"/>
    <s v="April"/>
    <n v="0.87550532006786697"/>
    <m/>
    <m/>
  </r>
  <r>
    <s v="ORD00943"/>
    <s v="2025-06-23"/>
    <x v="0"/>
    <x v="2"/>
    <s v="Accessories"/>
    <n v="11877.9"/>
    <n v="2354.12"/>
    <n v="4"/>
    <n v="9523.7799999999988"/>
    <s v="June"/>
    <n v="0.80180671667550651"/>
    <m/>
    <m/>
  </r>
  <r>
    <s v="ORD00944"/>
    <s v="2025-07-18"/>
    <x v="1"/>
    <x v="3"/>
    <s v="Accessories"/>
    <n v="32842.22"/>
    <n v="3328.35"/>
    <n v="3"/>
    <n v="29513.870000000003"/>
    <s v="July"/>
    <n v="0.89865636366847312"/>
    <m/>
    <m/>
  </r>
  <r>
    <s v="ORD00945"/>
    <s v="2025-12-29"/>
    <x v="0"/>
    <x v="5"/>
    <s v="Accessories"/>
    <n v="39290.01"/>
    <n v="2872.42"/>
    <n v="7"/>
    <n v="36417.590000000004"/>
    <s v="December"/>
    <n v="0.92689184858950158"/>
    <m/>
    <m/>
  </r>
  <r>
    <s v="ORD00946"/>
    <s v="2025-10-11"/>
    <x v="2"/>
    <x v="5"/>
    <s v="Accessories"/>
    <n v="17645.66"/>
    <n v="1927.44"/>
    <n v="5"/>
    <n v="15718.22"/>
    <s v="October"/>
    <n v="0.8907697416815239"/>
    <m/>
    <m/>
  </r>
  <r>
    <s v="ORD00947"/>
    <s v="2025-01-13"/>
    <x v="2"/>
    <x v="3"/>
    <s v="Electronics"/>
    <n v="48286.68"/>
    <n v="12206.69"/>
    <n v="12"/>
    <n v="36079.99"/>
    <s v="January"/>
    <n v="0.74720378373497609"/>
    <m/>
    <m/>
  </r>
  <r>
    <s v="ORD00948"/>
    <s v="2025-12-31"/>
    <x v="1"/>
    <x v="2"/>
    <s v="Electronics"/>
    <n v="6644.53"/>
    <n v="774.78"/>
    <n v="5"/>
    <n v="5869.75"/>
    <s v="December"/>
    <n v="0.88339581580638515"/>
    <m/>
    <m/>
  </r>
  <r>
    <s v="ORD00949"/>
    <s v="2025-12-14"/>
    <x v="3"/>
    <x v="1"/>
    <s v="Electronics"/>
    <n v="25821.24"/>
    <n v="6601.73"/>
    <n v="20"/>
    <n v="19219.510000000002"/>
    <s v="December"/>
    <n v="0.74432947449464093"/>
    <m/>
    <m/>
  </r>
  <r>
    <s v="ORD00950"/>
    <s v="2025-06-25"/>
    <x v="2"/>
    <x v="3"/>
    <s v="Accessories"/>
    <n v="17905.04"/>
    <n v="4671.3100000000004"/>
    <n v="2"/>
    <n v="13233.73"/>
    <s v="June"/>
    <n v="0.73910641919816988"/>
    <m/>
    <m/>
  </r>
  <r>
    <s v="ORD00951"/>
    <s v="2025-01-27"/>
    <x v="2"/>
    <x v="1"/>
    <s v="Electronics"/>
    <n v="6062.96"/>
    <n v="1775.14"/>
    <n v="8"/>
    <n v="4287.82"/>
    <s v="January"/>
    <n v="0.70721561745418071"/>
    <m/>
    <m/>
  </r>
  <r>
    <s v="ORD00952"/>
    <s v="2025-08-04"/>
    <x v="2"/>
    <x v="2"/>
    <s v="Office Supplies"/>
    <n v="5758.38"/>
    <n v="1641.1"/>
    <n v="10"/>
    <n v="4117.2800000000007"/>
    <s v="August"/>
    <n v="0.71500665117619899"/>
    <m/>
    <m/>
  </r>
  <r>
    <s v="ORD00953"/>
    <s v="2025-03-07"/>
    <x v="3"/>
    <x v="4"/>
    <s v="Office Supplies"/>
    <n v="32837.32"/>
    <n v="4494.0600000000004"/>
    <n v="18"/>
    <n v="28343.26"/>
    <s v="March"/>
    <n v="0.86314169365831317"/>
    <m/>
    <m/>
  </r>
  <r>
    <s v="ORD00954"/>
    <s v="2025-11-09"/>
    <x v="3"/>
    <x v="3"/>
    <s v="Accessories"/>
    <n v="36405.22"/>
    <n v="2641.81"/>
    <n v="19"/>
    <n v="33763.410000000003"/>
    <s v="November"/>
    <n v="0.92743320875412927"/>
    <m/>
    <m/>
  </r>
  <r>
    <s v="ORD00955"/>
    <s v="2025-10-31"/>
    <x v="2"/>
    <x v="2"/>
    <s v="Office Supplies"/>
    <n v="30522.240000000002"/>
    <n v="5068.6400000000003"/>
    <n v="19"/>
    <n v="25453.600000000002"/>
    <s v="October"/>
    <n v="0.83393617244343798"/>
    <m/>
    <m/>
  </r>
  <r>
    <s v="ORD00956"/>
    <s v="2025-06-29"/>
    <x v="2"/>
    <x v="2"/>
    <s v="Electronics"/>
    <n v="45531.64"/>
    <n v="2633.26"/>
    <n v="11"/>
    <n v="42898.38"/>
    <s v="June"/>
    <n v="0.94216637046238616"/>
    <m/>
    <m/>
  </r>
  <r>
    <s v="ORD00957"/>
    <s v="2025-06-13"/>
    <x v="1"/>
    <x v="1"/>
    <s v="Accessories"/>
    <n v="18941.75"/>
    <n v="4930.28"/>
    <n v="4"/>
    <n v="14011.470000000001"/>
    <s v="June"/>
    <n v="0.73971359562870387"/>
    <m/>
    <m/>
  </r>
  <r>
    <s v="ORD00958"/>
    <s v="2025-07-12"/>
    <x v="0"/>
    <x v="3"/>
    <s v="Office Supplies"/>
    <n v="40042.99"/>
    <n v="5365.43"/>
    <n v="1"/>
    <n v="34677.56"/>
    <s v="July"/>
    <n v="0.86600825762511735"/>
    <m/>
    <m/>
  </r>
  <r>
    <s v="ORD00959"/>
    <s v="2025-01-20"/>
    <x v="1"/>
    <x v="0"/>
    <s v="Accessories"/>
    <n v="38762.54"/>
    <n v="7988.93"/>
    <n v="19"/>
    <n v="30773.61"/>
    <s v="January"/>
    <n v="0.79390076088925032"/>
    <m/>
    <m/>
  </r>
  <r>
    <s v="ORD00960"/>
    <s v="2025-01-19"/>
    <x v="2"/>
    <x v="3"/>
    <s v="Electronics"/>
    <n v="27828.78"/>
    <n v="5883.4"/>
    <n v="7"/>
    <n v="21945.379999999997"/>
    <s v="January"/>
    <n v="0.78858577343311487"/>
    <m/>
    <m/>
  </r>
  <r>
    <s v="ORD00961"/>
    <s v="2025-03-21"/>
    <x v="0"/>
    <x v="0"/>
    <s v="Office Supplies"/>
    <n v="48953.54"/>
    <n v="3367.03"/>
    <n v="17"/>
    <n v="45586.51"/>
    <s v="March"/>
    <n v="0.93121988726453697"/>
    <m/>
    <m/>
  </r>
  <r>
    <s v="ORD00962"/>
    <s v="2025-04-12"/>
    <x v="3"/>
    <x v="3"/>
    <s v="Accessories"/>
    <n v="49829.46"/>
    <n v="4911.0600000000004"/>
    <n v="8"/>
    <n v="44918.400000000001"/>
    <s v="April"/>
    <n v="0.90144264055841672"/>
    <m/>
    <m/>
  </r>
  <r>
    <s v="ORD00963"/>
    <s v="2025-06-15"/>
    <x v="1"/>
    <x v="4"/>
    <s v="Electronics"/>
    <n v="19357.849999999999"/>
    <n v="3437.56"/>
    <n v="11"/>
    <n v="15920.289999999999"/>
    <s v="June"/>
    <n v="0.82242036176538202"/>
    <m/>
    <m/>
  </r>
  <r>
    <s v="ORD00964"/>
    <s v="2025-07-12"/>
    <x v="1"/>
    <x v="3"/>
    <s v="Accessories"/>
    <n v="47200.55"/>
    <n v="13056.31"/>
    <n v="10"/>
    <n v="34144.240000000005"/>
    <s v="July"/>
    <n v="0.72338648596255772"/>
    <m/>
    <m/>
  </r>
  <r>
    <s v="ORD00965"/>
    <s v="2025-03-05"/>
    <x v="2"/>
    <x v="5"/>
    <s v="Accessories"/>
    <n v="12674.69"/>
    <n v="1655.5"/>
    <n v="17"/>
    <n v="11019.19"/>
    <s v="March"/>
    <n v="0.86938536563813396"/>
    <m/>
    <m/>
  </r>
  <r>
    <s v="ORD00966"/>
    <s v="2025-05-30"/>
    <x v="2"/>
    <x v="2"/>
    <s v="Accessories"/>
    <n v="30946.67"/>
    <n v="3935.11"/>
    <n v="5"/>
    <n v="27011.559999999998"/>
    <s v="May"/>
    <n v="0.87284221533366912"/>
    <m/>
    <m/>
  </r>
  <r>
    <s v="ORD00967"/>
    <s v="2025-06-17"/>
    <x v="2"/>
    <x v="2"/>
    <s v="Office Supplies"/>
    <n v="41707.82"/>
    <n v="4692.45"/>
    <n v="9"/>
    <n v="37015.370000000003"/>
    <s v="June"/>
    <n v="0.88749232158381819"/>
    <m/>
    <m/>
  </r>
  <r>
    <s v="ORD00968"/>
    <s v="2025-04-08"/>
    <x v="1"/>
    <x v="1"/>
    <s v="Accessories"/>
    <n v="10557.63"/>
    <n v="2795.64"/>
    <n v="8"/>
    <n v="7761.99"/>
    <s v="April"/>
    <n v="0.73520193452507809"/>
    <m/>
    <m/>
  </r>
  <r>
    <s v="ORD00969"/>
    <s v="2025-06-22"/>
    <x v="2"/>
    <x v="0"/>
    <s v="Electronics"/>
    <n v="939.55"/>
    <n v="159.38999999999999"/>
    <n v="16"/>
    <n v="780.16"/>
    <s v="June"/>
    <n v="0.83035495716034269"/>
    <m/>
    <m/>
  </r>
  <r>
    <s v="ORD00970"/>
    <s v="2025-07-23"/>
    <x v="3"/>
    <x v="4"/>
    <s v="Electronics"/>
    <n v="16321.5"/>
    <n v="3746.85"/>
    <n v="13"/>
    <n v="12574.65"/>
    <s v="July"/>
    <n v="0.77043470269276715"/>
    <m/>
    <m/>
  </r>
  <r>
    <s v="ORD00971"/>
    <s v="2025-08-15"/>
    <x v="2"/>
    <x v="0"/>
    <s v="Office Supplies"/>
    <n v="28107.29"/>
    <n v="5591.49"/>
    <n v="2"/>
    <n v="22515.800000000003"/>
    <s v="August"/>
    <n v="0.80106620026334818"/>
    <m/>
    <m/>
  </r>
  <r>
    <s v="ORD00972"/>
    <s v="2025-05-13"/>
    <x v="0"/>
    <x v="2"/>
    <s v="Office Supplies"/>
    <n v="12111.78"/>
    <n v="1644.93"/>
    <n v="19"/>
    <n v="10466.85"/>
    <s v="May"/>
    <n v="0.86418759257516231"/>
    <m/>
    <m/>
  </r>
  <r>
    <s v="ORD00973"/>
    <s v="2025-12-29"/>
    <x v="3"/>
    <x v="2"/>
    <s v="Office Supplies"/>
    <n v="40386.79"/>
    <n v="11962.8"/>
    <n v="7"/>
    <n v="28423.99"/>
    <s v="December"/>
    <n v="0.70379423568944199"/>
    <m/>
    <m/>
  </r>
  <r>
    <s v="ORD00974"/>
    <s v="2025-07-27"/>
    <x v="0"/>
    <x v="1"/>
    <s v="Office Supplies"/>
    <n v="12904.93"/>
    <n v="1309.42"/>
    <n v="9"/>
    <n v="11595.51"/>
    <s v="July"/>
    <n v="0.89853335120763922"/>
    <m/>
    <m/>
  </r>
  <r>
    <s v="ORD00975"/>
    <s v="2025-08-02"/>
    <x v="0"/>
    <x v="3"/>
    <s v="Electronics"/>
    <n v="33413.64"/>
    <n v="5367.96"/>
    <n v="19"/>
    <n v="28045.68"/>
    <s v="August"/>
    <n v="0.83934824221485604"/>
    <m/>
    <m/>
  </r>
  <r>
    <s v="ORD00976"/>
    <s v="2025-01-08"/>
    <x v="2"/>
    <x v="2"/>
    <s v="Office Supplies"/>
    <n v="42322.400000000001"/>
    <n v="11992.75"/>
    <n v="18"/>
    <n v="30329.65"/>
    <s v="January"/>
    <n v="0.71663350849668261"/>
    <m/>
    <m/>
  </r>
  <r>
    <s v="ORD00977"/>
    <s v="2025-12-06"/>
    <x v="3"/>
    <x v="0"/>
    <s v="Accessories"/>
    <n v="9313.89"/>
    <n v="1489.7"/>
    <n v="17"/>
    <n v="7824.19"/>
    <s v="December"/>
    <n v="0.84005608827246192"/>
    <m/>
    <m/>
  </r>
  <r>
    <s v="ORD00978"/>
    <s v="2025-04-27"/>
    <x v="3"/>
    <x v="1"/>
    <s v="Office Supplies"/>
    <n v="37514.17"/>
    <n v="4470.68"/>
    <n v="16"/>
    <n v="33043.49"/>
    <s v="April"/>
    <n v="0.88082689820939664"/>
    <m/>
    <m/>
  </r>
  <r>
    <s v="ORD00979"/>
    <s v="2025-01-31"/>
    <x v="0"/>
    <x v="0"/>
    <s v="Electronics"/>
    <n v="3538.64"/>
    <n v="484.39"/>
    <n v="2"/>
    <n v="3054.25"/>
    <s v="January"/>
    <n v="0.86311407772477566"/>
    <m/>
    <m/>
  </r>
  <r>
    <s v="ORD00980"/>
    <s v="2025-12-04"/>
    <x v="2"/>
    <x v="1"/>
    <s v="Office Supplies"/>
    <n v="23138.55"/>
    <n v="2273.4"/>
    <n v="18"/>
    <n v="20865.149999999998"/>
    <s v="December"/>
    <n v="0.90174838094867649"/>
    <m/>
    <m/>
  </r>
  <r>
    <s v="ORD00981"/>
    <s v="2025-03-11"/>
    <x v="2"/>
    <x v="5"/>
    <s v="Electronics"/>
    <n v="20280.48"/>
    <n v="4712.83"/>
    <n v="10"/>
    <n v="15567.65"/>
    <s v="March"/>
    <n v="0.76761743311795383"/>
    <m/>
    <m/>
  </r>
  <r>
    <s v="ORD00982"/>
    <s v="2025-12-19"/>
    <x v="1"/>
    <x v="2"/>
    <s v="Office Supplies"/>
    <n v="26503.69"/>
    <n v="3325.94"/>
    <n v="6"/>
    <n v="23177.75"/>
    <s v="December"/>
    <n v="0.87451030403690966"/>
    <m/>
    <m/>
  </r>
  <r>
    <s v="ORD00983"/>
    <s v="2025-07-30"/>
    <x v="0"/>
    <x v="4"/>
    <s v="Accessories"/>
    <n v="23036.31"/>
    <n v="2473.4499999999998"/>
    <n v="18"/>
    <n v="20562.86"/>
    <s v="July"/>
    <n v="0.89262820304119883"/>
    <m/>
    <m/>
  </r>
  <r>
    <s v="ORD00984"/>
    <s v="2025-06-14"/>
    <x v="3"/>
    <x v="5"/>
    <s v="Electronics"/>
    <n v="39902.5"/>
    <n v="6373.25"/>
    <n v="15"/>
    <n v="33529.25"/>
    <s v="June"/>
    <n v="0.8402794311133388"/>
    <m/>
    <m/>
  </r>
  <r>
    <s v="ORD00985"/>
    <s v="2025-06-03"/>
    <x v="1"/>
    <x v="2"/>
    <s v="Office Supplies"/>
    <n v="49089.79"/>
    <n v="6067.97"/>
    <n v="10"/>
    <n v="43021.82"/>
    <s v="June"/>
    <n v="0.87639038586231477"/>
    <m/>
    <m/>
  </r>
  <r>
    <s v="ORD00986"/>
    <s v="2025-09-22"/>
    <x v="2"/>
    <x v="5"/>
    <s v="Office Supplies"/>
    <n v="15222.53"/>
    <n v="1771.28"/>
    <n v="7"/>
    <n v="13451.25"/>
    <s v="September"/>
    <n v="0.88364089280822566"/>
    <m/>
    <m/>
  </r>
  <r>
    <s v="ORD00987"/>
    <s v="2025-11-27"/>
    <x v="2"/>
    <x v="0"/>
    <s v="Electronics"/>
    <n v="25239.5"/>
    <n v="3323.81"/>
    <n v="13"/>
    <n v="21915.69"/>
    <s v="November"/>
    <n v="0.86830919788426864"/>
    <m/>
    <m/>
  </r>
  <r>
    <s v="ORD00988"/>
    <s v="2025-11-29"/>
    <x v="1"/>
    <x v="0"/>
    <s v="Electronics"/>
    <n v="15990.89"/>
    <n v="3376.01"/>
    <n v="8"/>
    <n v="12614.88"/>
    <s v="November"/>
    <n v="0.78887916807632341"/>
    <m/>
    <m/>
  </r>
  <r>
    <s v="ORD00989"/>
    <s v="2025-03-14"/>
    <x v="2"/>
    <x v="0"/>
    <s v="Office Supplies"/>
    <n v="35037.57"/>
    <n v="7174.65"/>
    <n v="2"/>
    <n v="27862.92"/>
    <s v="March"/>
    <n v="0.79522980617662697"/>
    <m/>
    <m/>
  </r>
  <r>
    <s v="ORD00990"/>
    <s v="2025-06-27"/>
    <x v="2"/>
    <x v="3"/>
    <s v="Accessories"/>
    <n v="21763.39"/>
    <n v="2523.36"/>
    <n v="18"/>
    <n v="19240.03"/>
    <s v="June"/>
    <n v="0.88405482785540301"/>
    <m/>
    <m/>
  </r>
  <r>
    <s v="ORD00991"/>
    <s v="2025-04-13"/>
    <x v="3"/>
    <x v="2"/>
    <s v="Accessories"/>
    <n v="20428.57"/>
    <n v="2606.4299999999998"/>
    <n v="5"/>
    <n v="17822.14"/>
    <s v="April"/>
    <n v="0.87241250856031527"/>
    <m/>
    <m/>
  </r>
  <r>
    <s v="ORD00992"/>
    <s v="2025-09-16"/>
    <x v="1"/>
    <x v="1"/>
    <s v="Office Supplies"/>
    <n v="5783.16"/>
    <n v="1194.79"/>
    <n v="3"/>
    <n v="4588.37"/>
    <s v="September"/>
    <n v="0.79340187717441679"/>
    <m/>
    <m/>
  </r>
  <r>
    <s v="ORD00993"/>
    <s v="2025-01-27"/>
    <x v="0"/>
    <x v="5"/>
    <s v="Accessories"/>
    <n v="48677.22"/>
    <n v="3713.45"/>
    <n v="16"/>
    <n v="44963.770000000004"/>
    <s v="January"/>
    <n v="0.92371277570904831"/>
    <m/>
    <m/>
  </r>
  <r>
    <s v="ORD00994"/>
    <s v="2025-03-27"/>
    <x v="0"/>
    <x v="2"/>
    <s v="Accessories"/>
    <n v="13738.3"/>
    <n v="3629.24"/>
    <n v="11"/>
    <n v="10109.06"/>
    <s v="March"/>
    <n v="0.7358304884883865"/>
    <m/>
    <m/>
  </r>
  <r>
    <s v="ORD00995"/>
    <s v="2025-03-22"/>
    <x v="0"/>
    <x v="1"/>
    <s v="Electronics"/>
    <n v="7568.11"/>
    <n v="1631.08"/>
    <n v="6"/>
    <n v="5937.03"/>
    <s v="March"/>
    <n v="0.78447987674597752"/>
    <m/>
    <m/>
  </r>
  <r>
    <s v="ORD00996"/>
    <s v="2025-07-14"/>
    <x v="1"/>
    <x v="0"/>
    <s v="Electronics"/>
    <n v="32199.53"/>
    <n v="1897.44"/>
    <n v="4"/>
    <n v="30302.09"/>
    <s v="July"/>
    <n v="0.94107243180257605"/>
    <m/>
    <m/>
  </r>
  <r>
    <s v="ORD00997"/>
    <s v="2025-08-30"/>
    <x v="2"/>
    <x v="3"/>
    <s v="Electronics"/>
    <n v="5887.23"/>
    <n v="1175.24"/>
    <n v="17"/>
    <n v="4711.99"/>
    <s v="August"/>
    <n v="0.80037470932849575"/>
    <m/>
    <m/>
  </r>
  <r>
    <s v="ORD00998"/>
    <s v="2025-02-11"/>
    <x v="0"/>
    <x v="5"/>
    <s v="Accessories"/>
    <n v="31924.080000000002"/>
    <n v="2883.93"/>
    <n v="2"/>
    <n v="29040.15"/>
    <s v="February"/>
    <n v="0.90966286264161722"/>
    <m/>
    <m/>
  </r>
  <r>
    <s v="ORD00999"/>
    <s v="2025-03-09"/>
    <x v="3"/>
    <x v="0"/>
    <s v="Electronics"/>
    <n v="34325.75"/>
    <n v="8535.57"/>
    <n v="11"/>
    <n v="25790.18"/>
    <s v="March"/>
    <n v="0.75133624174271507"/>
    <m/>
    <m/>
  </r>
  <r>
    <s v="ORD01000"/>
    <s v="2025-10-13"/>
    <x v="2"/>
    <x v="3"/>
    <s v="Office Supplies"/>
    <n v="28413.759999999998"/>
    <n v="2925.68"/>
    <n v="3"/>
    <n v="25488.079999999998"/>
    <s v="October"/>
    <n v="0.897032986834547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5-08-19"/>
    <x v="0"/>
    <x v="0"/>
    <x v="0"/>
    <x v="0"/>
    <n v="658.34"/>
    <n v="6"/>
    <n v="3245.75"/>
    <x v="0"/>
    <n v="0.83137171530369425"/>
  </r>
  <r>
    <s v="ORD00002"/>
    <s v="2025-08-28"/>
    <x v="1"/>
    <x v="1"/>
    <x v="1"/>
    <x v="1"/>
    <n v="6523.49"/>
    <n v="3"/>
    <n v="39937.810000000005"/>
    <x v="0"/>
    <n v="0.85959303764638528"/>
  </r>
  <r>
    <s v="ORD00003"/>
    <s v="2025-04-06"/>
    <x v="0"/>
    <x v="2"/>
    <x v="2"/>
    <x v="2"/>
    <n v="243.02"/>
    <n v="7"/>
    <n v="2719.07"/>
    <x v="1"/>
    <n v="0.91795657795678054"/>
  </r>
  <r>
    <s v="ORD00004"/>
    <s v="2025-07-18"/>
    <x v="0"/>
    <x v="3"/>
    <x v="0"/>
    <x v="3"/>
    <n v="7175.26"/>
    <n v="3"/>
    <n v="32568.159999999996"/>
    <x v="2"/>
    <n v="0.81946042892131576"/>
  </r>
  <r>
    <s v="ORD00005"/>
    <s v="2025-09-19"/>
    <x v="2"/>
    <x v="4"/>
    <x v="1"/>
    <x v="4"/>
    <n v="8895.3700000000008"/>
    <n v="20"/>
    <n v="36409.040000000001"/>
    <x v="3"/>
    <n v="0.80365333087882607"/>
  </r>
  <r>
    <s v="ORD00006"/>
    <s v="2025-06-24"/>
    <x v="3"/>
    <x v="5"/>
    <x v="2"/>
    <x v="5"/>
    <n v="4638.62"/>
    <n v="18"/>
    <n v="12443.210000000003"/>
    <x v="4"/>
    <n v="0.72844712773748488"/>
  </r>
  <r>
    <s v="ORD00007"/>
    <s v="2025-10-04"/>
    <x v="3"/>
    <x v="5"/>
    <x v="1"/>
    <x v="6"/>
    <n v="2221.61"/>
    <n v="16"/>
    <n v="39055.82"/>
    <x v="5"/>
    <n v="0.9461785774938023"/>
  </r>
  <r>
    <s v="ORD00008"/>
    <s v="2025-11-20"/>
    <x v="2"/>
    <x v="4"/>
    <x v="2"/>
    <x v="7"/>
    <n v="2633.32"/>
    <n v="20"/>
    <n v="32250.840000000004"/>
    <x v="6"/>
    <n v="0.92451244347004491"/>
  </r>
  <r>
    <s v="ORD00009"/>
    <s v="2025-05-28"/>
    <x v="2"/>
    <x v="1"/>
    <x v="1"/>
    <x v="8"/>
    <n v="8897.65"/>
    <n v="17"/>
    <n v="36793.089999999997"/>
    <x v="7"/>
    <n v="0.80526360483546555"/>
  </r>
  <r>
    <s v="ORD00010"/>
    <s v="2026-01-01"/>
    <x v="0"/>
    <x v="4"/>
    <x v="0"/>
    <x v="9"/>
    <n v="8499.91"/>
    <n v="15"/>
    <n v="26163.23"/>
    <x v="8"/>
    <n v="0.75478534258581309"/>
  </r>
  <r>
    <s v="ORD00011"/>
    <s v="2025-08-08"/>
    <x v="3"/>
    <x v="0"/>
    <x v="0"/>
    <x v="10"/>
    <n v="3238.89"/>
    <n v="20"/>
    <n v="12043.67"/>
    <x v="0"/>
    <n v="0.78806626638468946"/>
  </r>
  <r>
    <s v="ORD00012"/>
    <s v="2025-03-09"/>
    <x v="1"/>
    <x v="0"/>
    <x v="0"/>
    <x v="11"/>
    <n v="4955.78"/>
    <n v="2"/>
    <n v="13657.11"/>
    <x v="9"/>
    <n v="0.73374473281688124"/>
  </r>
  <r>
    <s v="ORD00013"/>
    <s v="2025-10-06"/>
    <x v="1"/>
    <x v="4"/>
    <x v="0"/>
    <x v="12"/>
    <n v="6054.66"/>
    <n v="19"/>
    <n v="17687.23"/>
    <x v="5"/>
    <n v="0.74497986470327338"/>
  </r>
  <r>
    <s v="ORD00014"/>
    <s v="2025-10-28"/>
    <x v="2"/>
    <x v="5"/>
    <x v="0"/>
    <x v="13"/>
    <n v="6447.31"/>
    <n v="5"/>
    <n v="15969.009999999998"/>
    <x v="5"/>
    <n v="0.71238321008979166"/>
  </r>
  <r>
    <s v="ORD00015"/>
    <s v="2025-06-01"/>
    <x v="2"/>
    <x v="4"/>
    <x v="2"/>
    <x v="14"/>
    <n v="7074.63"/>
    <n v="2"/>
    <n v="28216.539999999997"/>
    <x v="4"/>
    <n v="0.79953540786548016"/>
  </r>
  <r>
    <s v="ORD00016"/>
    <s v="2025-03-15"/>
    <x v="1"/>
    <x v="2"/>
    <x v="1"/>
    <x v="15"/>
    <n v="6513.98"/>
    <n v="8"/>
    <n v="20858.96"/>
    <x v="9"/>
    <n v="0.76202848506590815"/>
  </r>
  <r>
    <s v="ORD00017"/>
    <s v="2025-01-26"/>
    <x v="2"/>
    <x v="1"/>
    <x v="1"/>
    <x v="16"/>
    <n v="1983.86"/>
    <n v="1"/>
    <n v="7565.05"/>
    <x v="8"/>
    <n v="0.79224225592240372"/>
  </r>
  <r>
    <s v="ORD00018"/>
    <s v="2025-01-11"/>
    <x v="2"/>
    <x v="2"/>
    <x v="0"/>
    <x v="17"/>
    <n v="5917.04"/>
    <n v="5"/>
    <n v="31752.299999999996"/>
    <x v="8"/>
    <n v="0.84292159087470075"/>
  </r>
  <r>
    <s v="ORD00019"/>
    <s v="2025-03-27"/>
    <x v="2"/>
    <x v="3"/>
    <x v="0"/>
    <x v="18"/>
    <n v="5162.6099999999997"/>
    <n v="8"/>
    <n v="17541.61"/>
    <x v="9"/>
    <n v="0.77261451835826112"/>
  </r>
  <r>
    <s v="ORD00020"/>
    <s v="2025-10-20"/>
    <x v="1"/>
    <x v="2"/>
    <x v="1"/>
    <x v="19"/>
    <n v="10744.52"/>
    <n v="13"/>
    <n v="36085.960000000006"/>
    <x v="5"/>
    <n v="0.77056566578006469"/>
  </r>
  <r>
    <s v="ORD00021"/>
    <s v="2025-01-08"/>
    <x v="0"/>
    <x v="1"/>
    <x v="0"/>
    <x v="20"/>
    <n v="4471.41"/>
    <n v="8"/>
    <n v="16173.45"/>
    <x v="8"/>
    <n v="0.78341291730726192"/>
  </r>
  <r>
    <s v="ORD00022"/>
    <s v="2025-02-19"/>
    <x v="0"/>
    <x v="2"/>
    <x v="0"/>
    <x v="21"/>
    <n v="4655.42"/>
    <n v="6"/>
    <n v="26477.08"/>
    <x v="10"/>
    <n v="0.85046430578976961"/>
  </r>
  <r>
    <s v="ORD00023"/>
    <s v="2025-01-17"/>
    <x v="2"/>
    <x v="5"/>
    <x v="1"/>
    <x v="22"/>
    <n v="13763.75"/>
    <n v="6"/>
    <n v="35010.239999999998"/>
    <x v="8"/>
    <n v="0.71780553528632784"/>
  </r>
  <r>
    <s v="ORD00024"/>
    <s v="2025-03-12"/>
    <x v="3"/>
    <x v="0"/>
    <x v="0"/>
    <x v="23"/>
    <n v="6998.31"/>
    <n v="2"/>
    <n v="38827.340000000004"/>
    <x v="9"/>
    <n v="0.84728399924496445"/>
  </r>
  <r>
    <s v="ORD00025"/>
    <s v="2025-10-23"/>
    <x v="2"/>
    <x v="0"/>
    <x v="1"/>
    <x v="24"/>
    <n v="5657.53"/>
    <n v="9"/>
    <n v="38392.480000000003"/>
    <x v="5"/>
    <n v="0.87156574992832014"/>
  </r>
  <r>
    <s v="ORD00026"/>
    <s v="2025-03-06"/>
    <x v="1"/>
    <x v="4"/>
    <x v="2"/>
    <x v="25"/>
    <n v="2021.49"/>
    <n v="10"/>
    <n v="7116.380000000001"/>
    <x v="9"/>
    <n v="0.77877886203239932"/>
  </r>
  <r>
    <s v="ORD00027"/>
    <s v="2025-01-17"/>
    <x v="0"/>
    <x v="4"/>
    <x v="2"/>
    <x v="26"/>
    <n v="10308.1"/>
    <n v="16"/>
    <n v="37873.560000000005"/>
    <x v="8"/>
    <n v="0.78605759950985499"/>
  </r>
  <r>
    <s v="ORD00028"/>
    <s v="2025-04-28"/>
    <x v="1"/>
    <x v="4"/>
    <x v="0"/>
    <x v="27"/>
    <n v="2675.59"/>
    <n v="14"/>
    <n v="10271.52"/>
    <x v="1"/>
    <n v="0.79334461513032639"/>
  </r>
  <r>
    <s v="ORD00029"/>
    <s v="2025-02-19"/>
    <x v="0"/>
    <x v="5"/>
    <x v="2"/>
    <x v="28"/>
    <n v="2720.94"/>
    <n v="19"/>
    <n v="9676.64"/>
    <x v="10"/>
    <n v="0.78052652211157336"/>
  </r>
  <r>
    <s v="ORD00030"/>
    <s v="2025-08-23"/>
    <x v="0"/>
    <x v="1"/>
    <x v="2"/>
    <x v="29"/>
    <n v="1383.65"/>
    <n v="11"/>
    <n v="15738.699999999999"/>
    <x v="0"/>
    <n v="0.91919041486711817"/>
  </r>
  <r>
    <s v="ORD00031"/>
    <s v="2025-06-14"/>
    <x v="3"/>
    <x v="5"/>
    <x v="0"/>
    <x v="30"/>
    <n v="6846.19"/>
    <n v="8"/>
    <n v="20201.98"/>
    <x v="4"/>
    <n v="0.74688897622279071"/>
  </r>
  <r>
    <s v="ORD00032"/>
    <s v="2025-10-13"/>
    <x v="1"/>
    <x v="2"/>
    <x v="1"/>
    <x v="31"/>
    <n v="5354.54"/>
    <n v="2"/>
    <n v="41690.29"/>
    <x v="5"/>
    <n v="0.88618217984845515"/>
  </r>
  <r>
    <s v="ORD00033"/>
    <s v="2025-12-30"/>
    <x v="1"/>
    <x v="3"/>
    <x v="2"/>
    <x v="32"/>
    <n v="9214.4"/>
    <n v="13"/>
    <n v="28092.909999999996"/>
    <x v="11"/>
    <n v="0.75301355149969262"/>
  </r>
  <r>
    <s v="ORD00034"/>
    <s v="2025-08-01"/>
    <x v="0"/>
    <x v="5"/>
    <x v="2"/>
    <x v="33"/>
    <n v="2824.57"/>
    <n v="11"/>
    <n v="40182.61"/>
    <x v="0"/>
    <n v="0.93432329206425535"/>
  </r>
  <r>
    <s v="ORD00035"/>
    <s v="2025-04-28"/>
    <x v="2"/>
    <x v="5"/>
    <x v="1"/>
    <x v="34"/>
    <n v="3082.35"/>
    <n v="12"/>
    <n v="16484.440000000002"/>
    <x v="1"/>
    <n v="0.84247032855159187"/>
  </r>
  <r>
    <s v="ORD00036"/>
    <s v="2025-04-07"/>
    <x v="2"/>
    <x v="5"/>
    <x v="2"/>
    <x v="35"/>
    <n v="4885.17"/>
    <n v="14"/>
    <n v="14330.26"/>
    <x v="1"/>
    <n v="0.74576837468638479"/>
  </r>
  <r>
    <s v="ORD00037"/>
    <s v="2025-06-21"/>
    <x v="3"/>
    <x v="5"/>
    <x v="2"/>
    <x v="36"/>
    <n v="2494.13"/>
    <n v="15"/>
    <n v="26609.52"/>
    <x v="4"/>
    <n v="0.91430181437723446"/>
  </r>
  <r>
    <s v="ORD00038"/>
    <s v="2025-07-02"/>
    <x v="3"/>
    <x v="3"/>
    <x v="1"/>
    <x v="37"/>
    <n v="8397.0400000000009"/>
    <n v="7"/>
    <n v="24670.32"/>
    <x v="2"/>
    <n v="0.7460625825587528"/>
  </r>
  <r>
    <s v="ORD00039"/>
    <s v="2025-02-08"/>
    <x v="2"/>
    <x v="1"/>
    <x v="2"/>
    <x v="38"/>
    <n v="951.49"/>
    <n v="8"/>
    <n v="11091.69"/>
    <x v="10"/>
    <n v="0.92099345853835946"/>
  </r>
  <r>
    <s v="ORD00040"/>
    <s v="2025-10-03"/>
    <x v="0"/>
    <x v="2"/>
    <x v="1"/>
    <x v="39"/>
    <n v="4837.6400000000003"/>
    <n v="17"/>
    <n v="20563.560000000001"/>
    <x v="5"/>
    <n v="0.80955072988677701"/>
  </r>
  <r>
    <s v="ORD00041"/>
    <s v="2025-07-05"/>
    <x v="1"/>
    <x v="1"/>
    <x v="2"/>
    <x v="40"/>
    <n v="6751.39"/>
    <n v="12"/>
    <n v="28770.770000000004"/>
    <x v="2"/>
    <n v="0.80993864111867075"/>
  </r>
  <r>
    <s v="ORD00042"/>
    <s v="2025-01-28"/>
    <x v="3"/>
    <x v="5"/>
    <x v="0"/>
    <x v="41"/>
    <n v="2761"/>
    <n v="4"/>
    <n v="8008.0599999999995"/>
    <x v="8"/>
    <n v="0.74361736307532877"/>
  </r>
  <r>
    <s v="ORD00043"/>
    <s v="2025-12-15"/>
    <x v="0"/>
    <x v="5"/>
    <x v="0"/>
    <x v="42"/>
    <n v="13171"/>
    <n v="16"/>
    <n v="36615.919999999998"/>
    <x v="11"/>
    <n v="0.73545260482070385"/>
  </r>
  <r>
    <s v="ORD00044"/>
    <s v="2025-09-09"/>
    <x v="0"/>
    <x v="5"/>
    <x v="0"/>
    <x v="43"/>
    <n v="7546.15"/>
    <n v="16"/>
    <n v="23172.14"/>
    <x v="3"/>
    <n v="0.75434342211106153"/>
  </r>
  <r>
    <s v="ORD00045"/>
    <s v="2025-09-23"/>
    <x v="0"/>
    <x v="0"/>
    <x v="0"/>
    <x v="44"/>
    <n v="6028.99"/>
    <n v="9"/>
    <n v="14877.340000000002"/>
    <x v="3"/>
    <n v="0.71161892115928527"/>
  </r>
  <r>
    <s v="ORD00046"/>
    <s v="2025-01-06"/>
    <x v="0"/>
    <x v="5"/>
    <x v="2"/>
    <x v="45"/>
    <n v="3940.81"/>
    <n v="19"/>
    <n v="28399.57"/>
    <x v="8"/>
    <n v="0.87814583502110977"/>
  </r>
  <r>
    <s v="ORD00047"/>
    <s v="2025-10-30"/>
    <x v="2"/>
    <x v="4"/>
    <x v="0"/>
    <x v="46"/>
    <n v="2355.56"/>
    <n v="19"/>
    <n v="43421.450000000004"/>
    <x v="5"/>
    <n v="0.94854272919965721"/>
  </r>
  <r>
    <s v="ORD00048"/>
    <s v="2025-05-23"/>
    <x v="3"/>
    <x v="0"/>
    <x v="2"/>
    <x v="47"/>
    <n v="3099.17"/>
    <n v="14"/>
    <n v="28481.019999999997"/>
    <x v="7"/>
    <n v="0.90186347833879399"/>
  </r>
  <r>
    <s v="ORD00049"/>
    <s v="2025-05-27"/>
    <x v="2"/>
    <x v="2"/>
    <x v="1"/>
    <x v="48"/>
    <n v="6772.51"/>
    <n v="12"/>
    <n v="30088.71"/>
    <x v="7"/>
    <n v="0.81627005291740207"/>
  </r>
  <r>
    <s v="ORD00050"/>
    <s v="2025-04-08"/>
    <x v="2"/>
    <x v="2"/>
    <x v="1"/>
    <x v="49"/>
    <n v="4542.6400000000003"/>
    <n v="9"/>
    <n v="19658.97"/>
    <x v="1"/>
    <n v="0.8123000907790846"/>
  </r>
  <r>
    <s v="ORD00051"/>
    <s v="2025-10-12"/>
    <x v="3"/>
    <x v="5"/>
    <x v="0"/>
    <x v="50"/>
    <n v="2685.15"/>
    <n v="20"/>
    <n v="45694.22"/>
    <x v="5"/>
    <n v="0.94449803707654723"/>
  </r>
  <r>
    <s v="ORD00052"/>
    <s v="2025-05-13"/>
    <x v="3"/>
    <x v="4"/>
    <x v="2"/>
    <x v="51"/>
    <n v="7419.69"/>
    <n v="7"/>
    <n v="28941.200000000001"/>
    <x v="7"/>
    <n v="0.79594311360365499"/>
  </r>
  <r>
    <s v="ORD00053"/>
    <s v="2025-02-05"/>
    <x v="0"/>
    <x v="4"/>
    <x v="0"/>
    <x v="52"/>
    <n v="6043.59"/>
    <n v="8"/>
    <n v="30077.499999999996"/>
    <x v="10"/>
    <n v="0.83268528164570887"/>
  </r>
  <r>
    <s v="ORD00054"/>
    <s v="2025-01-13"/>
    <x v="3"/>
    <x v="2"/>
    <x v="2"/>
    <x v="53"/>
    <n v="4633.47"/>
    <n v="1"/>
    <n v="27296.77"/>
    <x v="8"/>
    <n v="0.85488771772463967"/>
  </r>
  <r>
    <s v="ORD00055"/>
    <s v="2025-06-28"/>
    <x v="1"/>
    <x v="4"/>
    <x v="1"/>
    <x v="54"/>
    <n v="2740.26"/>
    <n v="1"/>
    <n v="13358.11"/>
    <x v="4"/>
    <n v="0.82978028210309496"/>
  </r>
  <r>
    <s v="ORD00056"/>
    <s v="2025-10-13"/>
    <x v="1"/>
    <x v="3"/>
    <x v="0"/>
    <x v="55"/>
    <n v="6776.19"/>
    <n v="3"/>
    <n v="24946.43"/>
    <x v="5"/>
    <n v="0.78639248586655208"/>
  </r>
  <r>
    <s v="ORD00057"/>
    <s v="2025-08-21"/>
    <x v="0"/>
    <x v="3"/>
    <x v="0"/>
    <x v="56"/>
    <n v="1616.82"/>
    <n v="13"/>
    <n v="20935.46"/>
    <x v="0"/>
    <n v="0.92830791387833067"/>
  </r>
  <r>
    <s v="ORD00058"/>
    <s v="2025-01-12"/>
    <x v="1"/>
    <x v="4"/>
    <x v="1"/>
    <x v="57"/>
    <n v="62.65"/>
    <n v="11"/>
    <n v="877.48"/>
    <x v="8"/>
    <n v="0.93336027996128201"/>
  </r>
  <r>
    <s v="ORD00059"/>
    <s v="2025-11-15"/>
    <x v="2"/>
    <x v="2"/>
    <x v="2"/>
    <x v="58"/>
    <n v="2320.21"/>
    <n v="19"/>
    <n v="30483.050000000003"/>
    <x v="6"/>
    <n v="0.92926892022317298"/>
  </r>
  <r>
    <s v="ORD00060"/>
    <s v="2025-12-06"/>
    <x v="3"/>
    <x v="5"/>
    <x v="1"/>
    <x v="59"/>
    <n v="6658.08"/>
    <n v="5"/>
    <n v="32872.86"/>
    <x v="11"/>
    <n v="0.83157294008186999"/>
  </r>
  <r>
    <s v="ORD00061"/>
    <s v="2025-09-26"/>
    <x v="2"/>
    <x v="4"/>
    <x v="2"/>
    <x v="60"/>
    <n v="6714.58"/>
    <n v="17"/>
    <n v="28028.68"/>
    <x v="3"/>
    <n v="0.80673719161644586"/>
  </r>
  <r>
    <s v="ORD00062"/>
    <s v="2025-11-14"/>
    <x v="1"/>
    <x v="3"/>
    <x v="1"/>
    <x v="61"/>
    <n v="9726.77"/>
    <n v="16"/>
    <n v="35114.800000000003"/>
    <x v="6"/>
    <n v="0.78308587321987178"/>
  </r>
  <r>
    <s v="ORD00063"/>
    <s v="2025-09-21"/>
    <x v="3"/>
    <x v="5"/>
    <x v="0"/>
    <x v="62"/>
    <n v="4892.4799999999996"/>
    <n v="13"/>
    <n v="33660.69"/>
    <x v="3"/>
    <n v="0.87309785421017272"/>
  </r>
  <r>
    <s v="ORD00064"/>
    <s v="2025-08-20"/>
    <x v="2"/>
    <x v="5"/>
    <x v="2"/>
    <x v="63"/>
    <n v="3450.57"/>
    <n v="8"/>
    <n v="33702.26"/>
    <x v="0"/>
    <n v="0.90712497540564208"/>
  </r>
  <r>
    <s v="ORD00065"/>
    <s v="2025-08-13"/>
    <x v="2"/>
    <x v="1"/>
    <x v="1"/>
    <x v="64"/>
    <n v="8889.7800000000007"/>
    <n v="5"/>
    <n v="39299.22"/>
    <x v="0"/>
    <n v="0.81552262964576983"/>
  </r>
  <r>
    <s v="ORD00066"/>
    <s v="2025-03-21"/>
    <x v="2"/>
    <x v="3"/>
    <x v="2"/>
    <x v="65"/>
    <n v="3286.45"/>
    <n v="9"/>
    <n v="19060.59"/>
    <x v="9"/>
    <n v="0.85293578030915951"/>
  </r>
  <r>
    <s v="ORD00067"/>
    <s v="2025-09-06"/>
    <x v="1"/>
    <x v="5"/>
    <x v="2"/>
    <x v="66"/>
    <n v="7326.63"/>
    <n v="20"/>
    <n v="20910.55"/>
    <x v="3"/>
    <n v="0.74053251776558415"/>
  </r>
  <r>
    <s v="ORD00068"/>
    <s v="2025-06-21"/>
    <x v="0"/>
    <x v="0"/>
    <x v="1"/>
    <x v="67"/>
    <n v="6231.68"/>
    <n v="14"/>
    <n v="41271.22"/>
    <x v="4"/>
    <n v="0.86881474604708342"/>
  </r>
  <r>
    <s v="ORD00069"/>
    <s v="2025-03-11"/>
    <x v="1"/>
    <x v="3"/>
    <x v="1"/>
    <x v="68"/>
    <n v="5654.75"/>
    <n v="17"/>
    <n v="25822.55"/>
    <x v="9"/>
    <n v="0.82035466828476389"/>
  </r>
  <r>
    <s v="ORD00070"/>
    <s v="2025-07-15"/>
    <x v="1"/>
    <x v="1"/>
    <x v="1"/>
    <x v="69"/>
    <n v="6447.59"/>
    <n v="12"/>
    <n v="16385.72"/>
    <x v="2"/>
    <n v="0.71762350706051814"/>
  </r>
  <r>
    <s v="ORD00071"/>
    <s v="2025-12-25"/>
    <x v="3"/>
    <x v="4"/>
    <x v="1"/>
    <x v="70"/>
    <n v="2416.88"/>
    <n v="14"/>
    <n v="8050.5899999999992"/>
    <x v="11"/>
    <n v="0.76910561960053381"/>
  </r>
  <r>
    <s v="ORD00072"/>
    <s v="2025-10-30"/>
    <x v="0"/>
    <x v="2"/>
    <x v="2"/>
    <x v="71"/>
    <n v="9564.56"/>
    <n v="20"/>
    <n v="38966.15"/>
    <x v="5"/>
    <n v="0.80291736922868018"/>
  </r>
  <r>
    <s v="ORD00073"/>
    <s v="2025-03-19"/>
    <x v="3"/>
    <x v="4"/>
    <x v="0"/>
    <x v="72"/>
    <n v="4449.84"/>
    <n v="18"/>
    <n v="38900.19"/>
    <x v="9"/>
    <n v="0.89735093608931771"/>
  </r>
  <r>
    <s v="ORD00074"/>
    <s v="2025-07-01"/>
    <x v="3"/>
    <x v="4"/>
    <x v="0"/>
    <x v="73"/>
    <n v="4815.32"/>
    <n v="5"/>
    <n v="13135.830000000002"/>
    <x v="2"/>
    <n v="0.73175423301571207"/>
  </r>
  <r>
    <s v="ORD00075"/>
    <s v="2025-04-10"/>
    <x v="2"/>
    <x v="0"/>
    <x v="0"/>
    <x v="74"/>
    <n v="8008.35"/>
    <n v="11"/>
    <n v="19077.669999999998"/>
    <x v="1"/>
    <n v="0.70433640675152709"/>
  </r>
  <r>
    <s v="ORD00076"/>
    <s v="2025-08-15"/>
    <x v="2"/>
    <x v="0"/>
    <x v="1"/>
    <x v="75"/>
    <n v="847.14"/>
    <n v="13"/>
    <n v="15959.93"/>
    <x v="0"/>
    <n v="0.94959621159428742"/>
  </r>
  <r>
    <s v="ORD00077"/>
    <s v="2025-08-04"/>
    <x v="2"/>
    <x v="5"/>
    <x v="0"/>
    <x v="76"/>
    <n v="1572.65"/>
    <n v="15"/>
    <n v="6386.84"/>
    <x v="0"/>
    <n v="0.8024182453900941"/>
  </r>
  <r>
    <s v="ORD00078"/>
    <s v="2025-01-28"/>
    <x v="2"/>
    <x v="1"/>
    <x v="0"/>
    <x v="77"/>
    <n v="2444.86"/>
    <n v="11"/>
    <n v="17192.649999999998"/>
    <x v="8"/>
    <n v="0.87550050897491583"/>
  </r>
  <r>
    <s v="ORD00079"/>
    <s v="2025-05-28"/>
    <x v="0"/>
    <x v="5"/>
    <x v="0"/>
    <x v="78"/>
    <n v="2011.49"/>
    <n v="4"/>
    <n v="12954.31"/>
    <x v="7"/>
    <n v="0.86559422149166765"/>
  </r>
  <r>
    <s v="ORD00080"/>
    <s v="2025-08-17"/>
    <x v="0"/>
    <x v="4"/>
    <x v="2"/>
    <x v="79"/>
    <n v="6074.9"/>
    <n v="15"/>
    <n v="16945.82"/>
    <x v="0"/>
    <n v="0.73611164203378521"/>
  </r>
  <r>
    <s v="ORD00081"/>
    <s v="2025-05-09"/>
    <x v="2"/>
    <x v="4"/>
    <x v="2"/>
    <x v="80"/>
    <n v="2423.14"/>
    <n v="1"/>
    <n v="9595.0500000000011"/>
    <x v="7"/>
    <n v="0.79837729308656302"/>
  </r>
  <r>
    <s v="ORD00082"/>
    <s v="2025-11-29"/>
    <x v="1"/>
    <x v="2"/>
    <x v="2"/>
    <x v="81"/>
    <n v="826.94"/>
    <n v="16"/>
    <n v="2493.4899999999998"/>
    <x v="6"/>
    <n v="0.75095394271223903"/>
  </r>
  <r>
    <s v="ORD00083"/>
    <s v="2025-01-27"/>
    <x v="2"/>
    <x v="2"/>
    <x v="1"/>
    <x v="82"/>
    <n v="3664.38"/>
    <n v="10"/>
    <n v="33785.61"/>
    <x v="8"/>
    <n v="0.90215271085519655"/>
  </r>
  <r>
    <s v="ORD00084"/>
    <s v="2025-01-29"/>
    <x v="3"/>
    <x v="2"/>
    <x v="2"/>
    <x v="83"/>
    <n v="1437.44"/>
    <n v="16"/>
    <n v="4870.41"/>
    <x v="8"/>
    <n v="0.77211886776001326"/>
  </r>
  <r>
    <s v="ORD00085"/>
    <s v="2025-01-19"/>
    <x v="2"/>
    <x v="1"/>
    <x v="0"/>
    <x v="84"/>
    <n v="1126.4100000000001"/>
    <n v="11"/>
    <n v="20485.439999999999"/>
    <x v="8"/>
    <n v="0.94787998250959549"/>
  </r>
  <r>
    <s v="ORD00086"/>
    <s v="2025-01-29"/>
    <x v="3"/>
    <x v="2"/>
    <x v="2"/>
    <x v="85"/>
    <n v="3743.39"/>
    <n v="6"/>
    <n v="28087.15"/>
    <x v="8"/>
    <n v="0.8823962772859022"/>
  </r>
  <r>
    <s v="ORD00087"/>
    <s v="2025-06-04"/>
    <x v="1"/>
    <x v="3"/>
    <x v="0"/>
    <x v="86"/>
    <n v="1912.52"/>
    <n v="18"/>
    <n v="12287.65"/>
    <x v="4"/>
    <n v="0.86531710535859774"/>
  </r>
  <r>
    <s v="ORD00088"/>
    <s v="2025-03-31"/>
    <x v="3"/>
    <x v="2"/>
    <x v="0"/>
    <x v="87"/>
    <n v="1546.32"/>
    <n v="11"/>
    <n v="26123.48"/>
    <x v="9"/>
    <n v="0.94411524477950692"/>
  </r>
  <r>
    <s v="ORD00089"/>
    <s v="2025-05-26"/>
    <x v="3"/>
    <x v="0"/>
    <x v="2"/>
    <x v="88"/>
    <n v="3183.72"/>
    <n v="16"/>
    <n v="32475.809999999998"/>
    <x v="7"/>
    <n v="0.91071895787745938"/>
  </r>
  <r>
    <s v="ORD00090"/>
    <s v="2025-11-26"/>
    <x v="3"/>
    <x v="5"/>
    <x v="1"/>
    <x v="89"/>
    <n v="3827.6"/>
    <n v="10"/>
    <n v="34179.590000000004"/>
    <x v="6"/>
    <n v="0.89929273908436802"/>
  </r>
  <r>
    <s v="ORD00091"/>
    <s v="2025-07-30"/>
    <x v="2"/>
    <x v="3"/>
    <x v="2"/>
    <x v="90"/>
    <n v="9287.25"/>
    <n v="17"/>
    <n v="30313.910000000003"/>
    <x v="2"/>
    <n v="0.76548035461587494"/>
  </r>
  <r>
    <s v="ORD00092"/>
    <s v="2025-04-12"/>
    <x v="0"/>
    <x v="5"/>
    <x v="0"/>
    <x v="91"/>
    <n v="3240.17"/>
    <n v="7"/>
    <n v="10284.16"/>
    <x v="1"/>
    <n v="0.76041918527572161"/>
  </r>
  <r>
    <s v="ORD00093"/>
    <s v="2025-02-14"/>
    <x v="1"/>
    <x v="5"/>
    <x v="1"/>
    <x v="92"/>
    <n v="12962.43"/>
    <n v="9"/>
    <n v="36705.22"/>
    <x v="10"/>
    <n v="0.73901664363021002"/>
  </r>
  <r>
    <s v="ORD00094"/>
    <s v="2025-12-29"/>
    <x v="0"/>
    <x v="0"/>
    <x v="2"/>
    <x v="93"/>
    <n v="1193.3900000000001"/>
    <n v="18"/>
    <n v="4902.6899999999996"/>
    <x v="11"/>
    <n v="0.80423649295940991"/>
  </r>
  <r>
    <s v="ORD00095"/>
    <s v="2025-09-15"/>
    <x v="2"/>
    <x v="4"/>
    <x v="1"/>
    <x v="94"/>
    <n v="1647.04"/>
    <n v="20"/>
    <n v="22155.75"/>
    <x v="3"/>
    <n v="0.93080475019945141"/>
  </r>
  <r>
    <s v="ORD00096"/>
    <s v="2025-10-06"/>
    <x v="0"/>
    <x v="1"/>
    <x v="2"/>
    <x v="95"/>
    <n v="7243.08"/>
    <n v="8"/>
    <n v="31246.409999999996"/>
    <x v="5"/>
    <n v="0.81181668034572552"/>
  </r>
  <r>
    <s v="ORD00097"/>
    <s v="2025-12-03"/>
    <x v="3"/>
    <x v="4"/>
    <x v="1"/>
    <x v="96"/>
    <n v="9711.5"/>
    <n v="20"/>
    <n v="28517.79"/>
    <x v="11"/>
    <n v="0.74596703208456139"/>
  </r>
  <r>
    <s v="ORD00098"/>
    <s v="2025-06-21"/>
    <x v="2"/>
    <x v="0"/>
    <x v="0"/>
    <x v="97"/>
    <n v="7865.18"/>
    <n v="10"/>
    <n v="30962.15"/>
    <x v="4"/>
    <n v="0.79743186049620207"/>
  </r>
  <r>
    <s v="ORD00099"/>
    <s v="2025-12-25"/>
    <x v="3"/>
    <x v="4"/>
    <x v="0"/>
    <x v="98"/>
    <n v="6594.98"/>
    <n v="6"/>
    <n v="26930.670000000002"/>
    <x v="11"/>
    <n v="0.80328554405358288"/>
  </r>
  <r>
    <s v="ORD00100"/>
    <s v="2025-04-21"/>
    <x v="0"/>
    <x v="3"/>
    <x v="0"/>
    <x v="99"/>
    <n v="3989.04"/>
    <n v="6"/>
    <n v="45876.89"/>
    <x v="1"/>
    <n v="0.92000470060420003"/>
  </r>
  <r>
    <s v="ORD00101"/>
    <s v="2025-08-28"/>
    <x v="0"/>
    <x v="5"/>
    <x v="0"/>
    <x v="100"/>
    <n v="606.21"/>
    <n v="6"/>
    <n v="3111.74"/>
    <x v="0"/>
    <n v="0.83695047001707934"/>
  </r>
  <r>
    <s v="ORD00102"/>
    <s v="2025-06-11"/>
    <x v="1"/>
    <x v="3"/>
    <x v="1"/>
    <x v="101"/>
    <n v="1704.1"/>
    <n v="15"/>
    <n v="17506.580000000002"/>
    <x v="4"/>
    <n v="0.91129413430445994"/>
  </r>
  <r>
    <s v="ORD00103"/>
    <s v="2025-11-09"/>
    <x v="0"/>
    <x v="2"/>
    <x v="0"/>
    <x v="102"/>
    <n v="6329.12"/>
    <n v="18"/>
    <n v="23299.940000000002"/>
    <x v="6"/>
    <n v="0.78638809331109394"/>
  </r>
  <r>
    <s v="ORD00104"/>
    <s v="2025-10-15"/>
    <x v="1"/>
    <x v="1"/>
    <x v="1"/>
    <x v="103"/>
    <n v="5898.63"/>
    <n v="12"/>
    <n v="42565.770000000004"/>
    <x v="5"/>
    <n v="0.87828942481491579"/>
  </r>
  <r>
    <s v="ORD00105"/>
    <s v="2025-07-09"/>
    <x v="2"/>
    <x v="1"/>
    <x v="1"/>
    <x v="104"/>
    <n v="2991.22"/>
    <n v="7"/>
    <n v="34486.43"/>
    <x v="2"/>
    <n v="0.92018656452579073"/>
  </r>
  <r>
    <s v="ORD00106"/>
    <s v="2025-11-03"/>
    <x v="0"/>
    <x v="4"/>
    <x v="2"/>
    <x v="105"/>
    <n v="1094.97"/>
    <n v="13"/>
    <n v="17988.96"/>
    <x v="6"/>
    <n v="0.94262345334530151"/>
  </r>
  <r>
    <s v="ORD00107"/>
    <s v="2025-06-09"/>
    <x v="2"/>
    <x v="4"/>
    <x v="1"/>
    <x v="106"/>
    <n v="1981.42"/>
    <n v="14"/>
    <n v="12596.539999999999"/>
    <x v="4"/>
    <n v="0.86408111971771084"/>
  </r>
  <r>
    <s v="ORD00108"/>
    <s v="2025-07-13"/>
    <x v="3"/>
    <x v="5"/>
    <x v="0"/>
    <x v="107"/>
    <n v="5415.87"/>
    <n v="9"/>
    <n v="14091.870000000003"/>
    <x v="2"/>
    <n v="0.72237327337764401"/>
  </r>
  <r>
    <s v="ORD00109"/>
    <s v="2025-02-01"/>
    <x v="1"/>
    <x v="3"/>
    <x v="1"/>
    <x v="108"/>
    <n v="1583.23"/>
    <n v="15"/>
    <n v="10563.560000000001"/>
    <x v="10"/>
    <n v="0.86965856823078369"/>
  </r>
  <r>
    <s v="ORD00110"/>
    <s v="2025-08-28"/>
    <x v="3"/>
    <x v="3"/>
    <x v="2"/>
    <x v="109"/>
    <n v="3819.75"/>
    <n v="17"/>
    <n v="42908.23"/>
    <x v="0"/>
    <n v="0.91825561473018946"/>
  </r>
  <r>
    <s v="ORD00111"/>
    <s v="2025-05-07"/>
    <x v="1"/>
    <x v="5"/>
    <x v="2"/>
    <x v="110"/>
    <n v="2113.7600000000002"/>
    <n v="8"/>
    <n v="5120.6099999999997"/>
    <x v="7"/>
    <n v="0.7078169902838809"/>
  </r>
  <r>
    <s v="ORD00112"/>
    <s v="2025-10-14"/>
    <x v="0"/>
    <x v="5"/>
    <x v="0"/>
    <x v="111"/>
    <n v="7428.75"/>
    <n v="18"/>
    <n v="27694.550000000003"/>
    <x v="5"/>
    <n v="0.78849510154228108"/>
  </r>
  <r>
    <s v="ORD00113"/>
    <s v="2025-12-09"/>
    <x v="2"/>
    <x v="0"/>
    <x v="2"/>
    <x v="112"/>
    <n v="3671.53"/>
    <n v="18"/>
    <n v="14997.210000000001"/>
    <x v="11"/>
    <n v="0.80333273697100072"/>
  </r>
  <r>
    <s v="ORD00114"/>
    <s v="2025-10-19"/>
    <x v="0"/>
    <x v="1"/>
    <x v="0"/>
    <x v="113"/>
    <n v="1718.01"/>
    <n v="4"/>
    <n v="7798.869999999999"/>
    <x v="5"/>
    <n v="0.81947760190314467"/>
  </r>
  <r>
    <s v="ORD00115"/>
    <s v="2025-07-03"/>
    <x v="1"/>
    <x v="5"/>
    <x v="0"/>
    <x v="114"/>
    <n v="14320.8"/>
    <n v="19"/>
    <n v="35436.039999999994"/>
    <x v="2"/>
    <n v="0.71218429466179922"/>
  </r>
  <r>
    <s v="ORD00116"/>
    <s v="2025-08-11"/>
    <x v="1"/>
    <x v="3"/>
    <x v="2"/>
    <x v="115"/>
    <n v="7903.22"/>
    <n v="6"/>
    <n v="20830"/>
    <x v="0"/>
    <n v="0.72494485477088888"/>
  </r>
  <r>
    <s v="ORD00117"/>
    <s v="2025-06-24"/>
    <x v="3"/>
    <x v="4"/>
    <x v="0"/>
    <x v="116"/>
    <n v="3575.26"/>
    <n v="8"/>
    <n v="13605.800000000001"/>
    <x v="4"/>
    <n v="0.79190690213525827"/>
  </r>
  <r>
    <s v="ORD00118"/>
    <s v="2025-12-19"/>
    <x v="2"/>
    <x v="4"/>
    <x v="2"/>
    <x v="117"/>
    <n v="1523.44"/>
    <n v="2"/>
    <n v="13888.15"/>
    <x v="11"/>
    <n v="0.9011497191399459"/>
  </r>
  <r>
    <s v="ORD00119"/>
    <s v="2025-04-04"/>
    <x v="3"/>
    <x v="0"/>
    <x v="1"/>
    <x v="118"/>
    <n v="1560.98"/>
    <n v="3"/>
    <n v="13016.82"/>
    <x v="1"/>
    <n v="0.89292074249886821"/>
  </r>
  <r>
    <s v="ORD00120"/>
    <s v="2025-06-11"/>
    <x v="3"/>
    <x v="4"/>
    <x v="1"/>
    <x v="119"/>
    <n v="2701.98"/>
    <n v="20"/>
    <n v="42935.519999999997"/>
    <x v="4"/>
    <n v="0.94079474116680351"/>
  </r>
  <r>
    <s v="ORD00121"/>
    <s v="2025-02-23"/>
    <x v="0"/>
    <x v="3"/>
    <x v="2"/>
    <x v="120"/>
    <n v="4378.42"/>
    <n v="16"/>
    <n v="38392.11"/>
    <x v="10"/>
    <n v="0.89762998026912455"/>
  </r>
  <r>
    <s v="ORD00122"/>
    <s v="2025-05-01"/>
    <x v="2"/>
    <x v="2"/>
    <x v="1"/>
    <x v="121"/>
    <n v="11511.52"/>
    <n v="9"/>
    <n v="28604.99"/>
    <x v="7"/>
    <n v="0.71304781996240452"/>
  </r>
  <r>
    <s v="ORD00123"/>
    <s v="2025-02-25"/>
    <x v="0"/>
    <x v="1"/>
    <x v="0"/>
    <x v="122"/>
    <n v="1129.92"/>
    <n v="3"/>
    <n v="3094.5"/>
    <x v="10"/>
    <n v="0.73252659536693798"/>
  </r>
  <r>
    <s v="ORD00124"/>
    <s v="2025-01-12"/>
    <x v="3"/>
    <x v="4"/>
    <x v="2"/>
    <x v="123"/>
    <n v="7347.22"/>
    <n v="12"/>
    <n v="31284.17"/>
    <x v="8"/>
    <n v="0.80981217605682831"/>
  </r>
  <r>
    <s v="ORD00125"/>
    <s v="2025-06-22"/>
    <x v="1"/>
    <x v="1"/>
    <x v="2"/>
    <x v="124"/>
    <n v="12545.95"/>
    <n v="17"/>
    <n v="36101.179999999993"/>
    <x v="4"/>
    <n v="0.74210297709237927"/>
  </r>
  <r>
    <s v="ORD00126"/>
    <s v="2025-04-04"/>
    <x v="3"/>
    <x v="4"/>
    <x v="1"/>
    <x v="125"/>
    <n v="8209.7800000000007"/>
    <n v="19"/>
    <n v="29385.57"/>
    <x v="1"/>
    <n v="0.78162778109526843"/>
  </r>
  <r>
    <s v="ORD00127"/>
    <s v="2025-07-18"/>
    <x v="0"/>
    <x v="3"/>
    <x v="0"/>
    <x v="126"/>
    <n v="4223.1499999999996"/>
    <n v="8"/>
    <n v="12014.53"/>
    <x v="2"/>
    <n v="0.73991666297155756"/>
  </r>
  <r>
    <s v="ORD00128"/>
    <s v="2025-07-22"/>
    <x v="2"/>
    <x v="2"/>
    <x v="0"/>
    <x v="127"/>
    <n v="2481.37"/>
    <n v="4"/>
    <n v="6205.2500000000009"/>
    <x v="2"/>
    <n v="0.71434574092109482"/>
  </r>
  <r>
    <s v="ORD00129"/>
    <s v="2025-05-23"/>
    <x v="3"/>
    <x v="2"/>
    <x v="2"/>
    <x v="128"/>
    <n v="1455.65"/>
    <n v="6"/>
    <n v="5186.7999999999993"/>
    <x v="7"/>
    <n v="0.78085646109492723"/>
  </r>
  <r>
    <s v="ORD00130"/>
    <s v="2025-12-02"/>
    <x v="2"/>
    <x v="4"/>
    <x v="2"/>
    <x v="129"/>
    <n v="3764.8"/>
    <n v="10"/>
    <n v="21661.11"/>
    <x v="11"/>
    <n v="0.85193057003662798"/>
  </r>
  <r>
    <s v="ORD00131"/>
    <s v="2025-06-30"/>
    <x v="2"/>
    <x v="5"/>
    <x v="2"/>
    <x v="130"/>
    <n v="1070.73"/>
    <n v="11"/>
    <n v="18702.330000000002"/>
    <x v="4"/>
    <n v="0.9458490491608279"/>
  </r>
  <r>
    <s v="ORD00132"/>
    <s v="2025-05-13"/>
    <x v="2"/>
    <x v="4"/>
    <x v="0"/>
    <x v="131"/>
    <n v="2278.64"/>
    <n v="18"/>
    <n v="5487.67"/>
    <x v="7"/>
    <n v="0.70659940177510294"/>
  </r>
  <r>
    <s v="ORD00133"/>
    <s v="2025-10-31"/>
    <x v="0"/>
    <x v="3"/>
    <x v="2"/>
    <x v="132"/>
    <n v="9980.31"/>
    <n v="5"/>
    <n v="24295.240000000005"/>
    <x v="5"/>
    <n v="0.70882130264868115"/>
  </r>
  <r>
    <s v="ORD00134"/>
    <s v="2025-01-28"/>
    <x v="2"/>
    <x v="3"/>
    <x v="1"/>
    <x v="133"/>
    <n v="514.30999999999995"/>
    <n v="15"/>
    <n v="6027.6299999999992"/>
    <x v="8"/>
    <n v="0.92138264796069658"/>
  </r>
  <r>
    <s v="ORD00135"/>
    <s v="2025-06-26"/>
    <x v="2"/>
    <x v="1"/>
    <x v="2"/>
    <x v="134"/>
    <n v="2368.71"/>
    <n v="8"/>
    <n v="15284.100000000002"/>
    <x v="4"/>
    <n v="0.86581683029500689"/>
  </r>
  <r>
    <s v="ORD00136"/>
    <s v="2025-01-13"/>
    <x v="3"/>
    <x v="2"/>
    <x v="0"/>
    <x v="135"/>
    <n v="2771.7"/>
    <n v="17"/>
    <n v="32300.679999999997"/>
    <x v="8"/>
    <n v="0.92097200132982138"/>
  </r>
  <r>
    <s v="ORD00137"/>
    <s v="2025-05-20"/>
    <x v="1"/>
    <x v="2"/>
    <x v="0"/>
    <x v="136"/>
    <n v="4622.4799999999996"/>
    <n v="15"/>
    <n v="21551.56"/>
    <x v="7"/>
    <n v="0.82339447788725018"/>
  </r>
  <r>
    <s v="ORD00138"/>
    <s v="2025-09-20"/>
    <x v="0"/>
    <x v="1"/>
    <x v="0"/>
    <x v="137"/>
    <n v="5284.47"/>
    <n v="7"/>
    <n v="16385.939999999999"/>
    <x v="3"/>
    <n v="0.75614351551262748"/>
  </r>
  <r>
    <s v="ORD00139"/>
    <s v="2025-08-12"/>
    <x v="3"/>
    <x v="3"/>
    <x v="0"/>
    <x v="138"/>
    <n v="3796.02"/>
    <n v="12"/>
    <n v="21898.14"/>
    <x v="0"/>
    <n v="0.85226136989884083"/>
  </r>
  <r>
    <s v="ORD00140"/>
    <s v="2025-02-28"/>
    <x v="2"/>
    <x v="0"/>
    <x v="1"/>
    <x v="139"/>
    <n v="8037.24"/>
    <n v="15"/>
    <n v="36110.07"/>
    <x v="10"/>
    <n v="0.81794496652230908"/>
  </r>
  <r>
    <s v="ORD00141"/>
    <s v="2025-07-09"/>
    <x v="2"/>
    <x v="4"/>
    <x v="2"/>
    <x v="140"/>
    <n v="9575.11"/>
    <n v="17"/>
    <n v="29230.85"/>
    <x v="2"/>
    <n v="0.75325671623637191"/>
  </r>
  <r>
    <s v="ORD00142"/>
    <s v="2025-10-04"/>
    <x v="3"/>
    <x v="5"/>
    <x v="1"/>
    <x v="141"/>
    <n v="765.64"/>
    <n v="7"/>
    <n v="10657.92"/>
    <x v="5"/>
    <n v="0.93297711046293808"/>
  </r>
  <r>
    <s v="ORD00143"/>
    <s v="2025-08-11"/>
    <x v="0"/>
    <x v="0"/>
    <x v="0"/>
    <x v="142"/>
    <n v="10110.450000000001"/>
    <n v="4"/>
    <n v="25787.95"/>
    <x v="0"/>
    <n v="0.71835931406413656"/>
  </r>
  <r>
    <s v="ORD00144"/>
    <s v="2025-06-27"/>
    <x v="1"/>
    <x v="1"/>
    <x v="1"/>
    <x v="143"/>
    <n v="5888.68"/>
    <n v="14"/>
    <n v="36071.629999999997"/>
    <x v="4"/>
    <n v="0.8596607127068413"/>
  </r>
  <r>
    <s v="ORD00145"/>
    <s v="2025-10-09"/>
    <x v="3"/>
    <x v="3"/>
    <x v="0"/>
    <x v="144"/>
    <n v="5747.53"/>
    <n v="13"/>
    <n v="18726.25"/>
    <x v="5"/>
    <n v="0.76515560734794552"/>
  </r>
  <r>
    <s v="ORD00146"/>
    <s v="2025-11-21"/>
    <x v="1"/>
    <x v="4"/>
    <x v="2"/>
    <x v="145"/>
    <n v="3330.66"/>
    <n v="20"/>
    <n v="32015.829999999998"/>
    <x v="6"/>
    <n v="0.90577112465763931"/>
  </r>
  <r>
    <s v="ORD00147"/>
    <s v="2025-09-03"/>
    <x v="0"/>
    <x v="5"/>
    <x v="2"/>
    <x v="146"/>
    <n v="374.82"/>
    <n v="2"/>
    <n v="3866.0399999999995"/>
    <x v="3"/>
    <n v="0.91161698334771712"/>
  </r>
  <r>
    <s v="ORD00148"/>
    <s v="2025-10-16"/>
    <x v="0"/>
    <x v="5"/>
    <x v="1"/>
    <x v="147"/>
    <n v="7271.05"/>
    <n v="2"/>
    <n v="18917.440000000002"/>
    <x v="5"/>
    <n v="0.72235703547627228"/>
  </r>
  <r>
    <s v="ORD00149"/>
    <s v="2025-07-23"/>
    <x v="0"/>
    <x v="5"/>
    <x v="0"/>
    <x v="148"/>
    <n v="4876.93"/>
    <n v="8"/>
    <n v="17014.7"/>
    <x v="2"/>
    <n v="0.77722398925982217"/>
  </r>
  <r>
    <s v="ORD00150"/>
    <s v="2025-06-07"/>
    <x v="2"/>
    <x v="1"/>
    <x v="2"/>
    <x v="149"/>
    <n v="1834.3"/>
    <n v="2"/>
    <n v="14522.29"/>
    <x v="4"/>
    <n v="0.88785559826345228"/>
  </r>
  <r>
    <s v="ORD00151"/>
    <s v="2025-10-09"/>
    <x v="3"/>
    <x v="5"/>
    <x v="0"/>
    <x v="150"/>
    <n v="1605.13"/>
    <n v="9"/>
    <n v="7358.81"/>
    <x v="5"/>
    <n v="0.8209347675241021"/>
  </r>
  <r>
    <s v="ORD00152"/>
    <s v="2025-10-17"/>
    <x v="1"/>
    <x v="1"/>
    <x v="1"/>
    <x v="151"/>
    <n v="5127.6000000000004"/>
    <n v="17"/>
    <n v="22081.800000000003"/>
    <x v="5"/>
    <n v="0.81155042007541522"/>
  </r>
  <r>
    <s v="ORD00153"/>
    <s v="2025-02-28"/>
    <x v="0"/>
    <x v="4"/>
    <x v="0"/>
    <x v="152"/>
    <n v="4407.05"/>
    <n v="15"/>
    <n v="12304.71"/>
    <x v="10"/>
    <n v="0.73629049244364453"/>
  </r>
  <r>
    <s v="ORD00154"/>
    <s v="2025-07-07"/>
    <x v="1"/>
    <x v="0"/>
    <x v="1"/>
    <x v="153"/>
    <n v="4517.22"/>
    <n v="19"/>
    <n v="38751.94"/>
    <x v="2"/>
    <n v="0.89560185591770214"/>
  </r>
  <r>
    <s v="ORD00155"/>
    <s v="2025-10-26"/>
    <x v="2"/>
    <x v="2"/>
    <x v="2"/>
    <x v="154"/>
    <n v="2820.05"/>
    <n v="16"/>
    <n v="7871.1699999999992"/>
    <x v="5"/>
    <n v="0.73622748386058834"/>
  </r>
  <r>
    <s v="ORD00156"/>
    <s v="2025-09-21"/>
    <x v="3"/>
    <x v="2"/>
    <x v="2"/>
    <x v="155"/>
    <n v="7460.89"/>
    <n v="19"/>
    <n v="41800.83"/>
    <x v="3"/>
    <n v="0.84854588918129537"/>
  </r>
  <r>
    <s v="ORD00157"/>
    <s v="2025-01-30"/>
    <x v="0"/>
    <x v="3"/>
    <x v="2"/>
    <x v="156"/>
    <n v="2767.34"/>
    <n v="8"/>
    <n v="29244.2"/>
    <x v="8"/>
    <n v="0.91355180038198724"/>
  </r>
  <r>
    <s v="ORD00158"/>
    <s v="2025-01-23"/>
    <x v="1"/>
    <x v="1"/>
    <x v="2"/>
    <x v="157"/>
    <n v="707.23"/>
    <n v="8"/>
    <n v="9895.1200000000008"/>
    <x v="8"/>
    <n v="0.93329497705697329"/>
  </r>
  <r>
    <s v="ORD00159"/>
    <s v="2025-09-10"/>
    <x v="1"/>
    <x v="4"/>
    <x v="1"/>
    <x v="158"/>
    <n v="7217.37"/>
    <n v="5"/>
    <n v="24188.34"/>
    <x v="3"/>
    <n v="0.77018924265682898"/>
  </r>
  <r>
    <s v="ORD00160"/>
    <s v="2025-06-23"/>
    <x v="3"/>
    <x v="1"/>
    <x v="1"/>
    <x v="159"/>
    <n v="6321.8"/>
    <n v="19"/>
    <n v="17269.740000000002"/>
    <x v="4"/>
    <n v="0.73203105859134254"/>
  </r>
  <r>
    <s v="ORD00161"/>
    <s v="2025-06-05"/>
    <x v="2"/>
    <x v="4"/>
    <x v="1"/>
    <x v="160"/>
    <n v="8761.89"/>
    <n v="12"/>
    <n v="40049.550000000003"/>
    <x v="4"/>
    <n v="0.82049515441462084"/>
  </r>
  <r>
    <s v="ORD00162"/>
    <s v="2025-05-30"/>
    <x v="2"/>
    <x v="5"/>
    <x v="1"/>
    <x v="161"/>
    <n v="7939.18"/>
    <n v="5"/>
    <n v="35956.67"/>
    <x v="7"/>
    <n v="0.81913597754685241"/>
  </r>
  <r>
    <s v="ORD00163"/>
    <s v="2025-07-04"/>
    <x v="0"/>
    <x v="3"/>
    <x v="0"/>
    <x v="162"/>
    <n v="3498.59"/>
    <n v="19"/>
    <n v="25546.14"/>
    <x v="2"/>
    <n v="0.87954475734496407"/>
  </r>
  <r>
    <s v="ORD00164"/>
    <s v="2025-09-08"/>
    <x v="2"/>
    <x v="5"/>
    <x v="1"/>
    <x v="163"/>
    <n v="10697.55"/>
    <n v="19"/>
    <n v="26426.51"/>
    <x v="3"/>
    <n v="0.71184320895936493"/>
  </r>
  <r>
    <s v="ORD00165"/>
    <s v="2025-09-28"/>
    <x v="1"/>
    <x v="4"/>
    <x v="0"/>
    <x v="164"/>
    <n v="5196.6099999999997"/>
    <n v="13"/>
    <n v="15145.64"/>
    <x v="3"/>
    <n v="0.74454104142855382"/>
  </r>
  <r>
    <s v="ORD00166"/>
    <s v="2025-06-12"/>
    <x v="3"/>
    <x v="5"/>
    <x v="2"/>
    <x v="165"/>
    <n v="2926.7"/>
    <n v="9"/>
    <n v="8223.119999999999"/>
    <x v="4"/>
    <n v="0.73751145758406855"/>
  </r>
  <r>
    <s v="ORD00167"/>
    <s v="2025-12-08"/>
    <x v="0"/>
    <x v="0"/>
    <x v="2"/>
    <x v="166"/>
    <n v="8285.4699999999993"/>
    <n v="10"/>
    <n v="21665.72"/>
    <x v="11"/>
    <n v="0.72336758572864723"/>
  </r>
  <r>
    <s v="ORD00168"/>
    <s v="2025-11-24"/>
    <x v="3"/>
    <x v="4"/>
    <x v="1"/>
    <x v="167"/>
    <n v="2092.7800000000002"/>
    <n v="14"/>
    <n v="25563.620000000003"/>
    <x v="6"/>
    <n v="0.92432926917458536"/>
  </r>
  <r>
    <s v="ORD00169"/>
    <s v="2025-05-17"/>
    <x v="2"/>
    <x v="3"/>
    <x v="1"/>
    <x v="168"/>
    <n v="957.8"/>
    <n v="10"/>
    <n v="11675.01"/>
    <x v="7"/>
    <n v="0.9241815558058738"/>
  </r>
  <r>
    <s v="ORD00170"/>
    <s v="2025-07-15"/>
    <x v="2"/>
    <x v="4"/>
    <x v="0"/>
    <x v="169"/>
    <n v="12655.36"/>
    <n v="7"/>
    <n v="34742.06"/>
    <x v="2"/>
    <n v="0.73299474950324295"/>
  </r>
  <r>
    <s v="ORD00171"/>
    <s v="2025-04-17"/>
    <x v="3"/>
    <x v="4"/>
    <x v="1"/>
    <x v="170"/>
    <n v="9140.0400000000009"/>
    <n v="5"/>
    <n v="35687.26"/>
    <x v="1"/>
    <n v="0.79610549821202703"/>
  </r>
  <r>
    <s v="ORD00172"/>
    <s v="2025-03-09"/>
    <x v="0"/>
    <x v="3"/>
    <x v="2"/>
    <x v="171"/>
    <n v="10973.04"/>
    <n v="16"/>
    <n v="34604.22"/>
    <x v="9"/>
    <n v="0.7592430962282507"/>
  </r>
  <r>
    <s v="ORD00173"/>
    <s v="2025-09-25"/>
    <x v="0"/>
    <x v="0"/>
    <x v="0"/>
    <x v="172"/>
    <n v="5965.94"/>
    <n v="1"/>
    <n v="17688.47"/>
    <x v="3"/>
    <n v="0.74778741046595543"/>
  </r>
  <r>
    <s v="ORD00174"/>
    <s v="2025-02-03"/>
    <x v="1"/>
    <x v="2"/>
    <x v="1"/>
    <x v="173"/>
    <n v="1047.1099999999999"/>
    <n v="17"/>
    <n v="13232.279999999999"/>
    <x v="10"/>
    <n v="0.92666983673672332"/>
  </r>
  <r>
    <s v="ORD00175"/>
    <s v="2025-09-07"/>
    <x v="2"/>
    <x v="2"/>
    <x v="1"/>
    <x v="174"/>
    <n v="5237.83"/>
    <n v="9"/>
    <n v="35595.759999999995"/>
    <x v="3"/>
    <n v="0.87172741852969571"/>
  </r>
  <r>
    <s v="ORD00176"/>
    <s v="2025-10-05"/>
    <x v="3"/>
    <x v="2"/>
    <x v="0"/>
    <x v="175"/>
    <n v="6782.98"/>
    <n v="11"/>
    <n v="36741.520000000004"/>
    <x v="5"/>
    <n v="0.84415719881905604"/>
  </r>
  <r>
    <s v="ORD00177"/>
    <s v="2025-09-25"/>
    <x v="1"/>
    <x v="0"/>
    <x v="1"/>
    <x v="176"/>
    <n v="3492.24"/>
    <n v="5"/>
    <n v="9246.02"/>
    <x v="3"/>
    <n v="0.72584638718317884"/>
  </r>
  <r>
    <s v="ORD00178"/>
    <s v="2025-06-06"/>
    <x v="0"/>
    <x v="4"/>
    <x v="2"/>
    <x v="177"/>
    <n v="1395.21"/>
    <n v="18"/>
    <n v="8833.3100000000013"/>
    <x v="4"/>
    <n v="0.86359610187984193"/>
  </r>
  <r>
    <s v="ORD00179"/>
    <s v="2025-12-23"/>
    <x v="3"/>
    <x v="0"/>
    <x v="0"/>
    <x v="178"/>
    <n v="11377.95"/>
    <n v="3"/>
    <n v="32487.27"/>
    <x v="11"/>
    <n v="0.7406156859580324"/>
  </r>
  <r>
    <s v="ORD00180"/>
    <s v="2025-04-03"/>
    <x v="3"/>
    <x v="1"/>
    <x v="0"/>
    <x v="179"/>
    <n v="1267.01"/>
    <n v="18"/>
    <n v="5005.24"/>
    <x v="1"/>
    <n v="0.79799752879748098"/>
  </r>
  <r>
    <s v="ORD00181"/>
    <s v="2025-03-03"/>
    <x v="3"/>
    <x v="4"/>
    <x v="1"/>
    <x v="180"/>
    <n v="349.32"/>
    <n v="6"/>
    <n v="2660.2599999999998"/>
    <x v="9"/>
    <n v="0.88393064813030386"/>
  </r>
  <r>
    <s v="ORD00182"/>
    <s v="2025-02-28"/>
    <x v="3"/>
    <x v="0"/>
    <x v="1"/>
    <x v="181"/>
    <n v="2193.36"/>
    <n v="4"/>
    <n v="11827.26"/>
    <x v="10"/>
    <n v="0.84356183963333997"/>
  </r>
  <r>
    <s v="ORD00183"/>
    <s v="2025-05-18"/>
    <x v="3"/>
    <x v="4"/>
    <x v="0"/>
    <x v="182"/>
    <n v="4482.99"/>
    <n v="18"/>
    <n v="33967.800000000003"/>
    <x v="7"/>
    <n v="0.8834096776685213"/>
  </r>
  <r>
    <s v="ORD00184"/>
    <s v="2025-07-27"/>
    <x v="2"/>
    <x v="1"/>
    <x v="2"/>
    <x v="183"/>
    <n v="11832.64"/>
    <n v="13"/>
    <n v="34385.980000000003"/>
    <x v="2"/>
    <n v="0.7439854327108858"/>
  </r>
  <r>
    <s v="ORD00185"/>
    <s v="2025-05-18"/>
    <x v="2"/>
    <x v="0"/>
    <x v="0"/>
    <x v="184"/>
    <n v="7948.4"/>
    <n v="2"/>
    <n v="39385.03"/>
    <x v="7"/>
    <n v="0.83207639928059296"/>
  </r>
  <r>
    <s v="ORD00186"/>
    <s v="2025-09-22"/>
    <x v="2"/>
    <x v="5"/>
    <x v="1"/>
    <x v="185"/>
    <n v="1392.4"/>
    <n v="17"/>
    <n v="13518.78"/>
    <x v="3"/>
    <n v="0.90662040160470203"/>
  </r>
  <r>
    <s v="ORD00187"/>
    <s v="2025-02-12"/>
    <x v="0"/>
    <x v="3"/>
    <x v="1"/>
    <x v="186"/>
    <n v="6461.92"/>
    <n v="18"/>
    <n v="39001.450000000004"/>
    <x v="10"/>
    <n v="0.85786535402017061"/>
  </r>
  <r>
    <s v="ORD00188"/>
    <s v="2025-12-22"/>
    <x v="3"/>
    <x v="1"/>
    <x v="2"/>
    <x v="187"/>
    <n v="8620.8799999999992"/>
    <n v="8"/>
    <n v="21928.910000000003"/>
    <x v="11"/>
    <n v="0.7178088621885782"/>
  </r>
  <r>
    <s v="ORD00189"/>
    <s v="2025-04-14"/>
    <x v="1"/>
    <x v="4"/>
    <x v="2"/>
    <x v="188"/>
    <n v="909.07"/>
    <n v="12"/>
    <n v="7481.99"/>
    <x v="1"/>
    <n v="0.8916620784501601"/>
  </r>
  <r>
    <s v="ORD00190"/>
    <s v="2025-02-13"/>
    <x v="1"/>
    <x v="5"/>
    <x v="0"/>
    <x v="189"/>
    <n v="1299.42"/>
    <n v="17"/>
    <n v="4923.1499999999996"/>
    <x v="10"/>
    <n v="0.7911763146095584"/>
  </r>
  <r>
    <s v="ORD00191"/>
    <s v="2025-06-20"/>
    <x v="2"/>
    <x v="5"/>
    <x v="2"/>
    <x v="190"/>
    <n v="3743.11"/>
    <n v="17"/>
    <n v="30948.269999999997"/>
    <x v="4"/>
    <n v="0.89210259147949722"/>
  </r>
  <r>
    <s v="ORD00192"/>
    <s v="2025-03-30"/>
    <x v="2"/>
    <x v="3"/>
    <x v="2"/>
    <x v="191"/>
    <n v="1552.44"/>
    <n v="18"/>
    <n v="17777.460000000003"/>
    <x v="9"/>
    <n v="0.91968711685006133"/>
  </r>
  <r>
    <s v="ORD00193"/>
    <s v="2025-08-14"/>
    <x v="0"/>
    <x v="2"/>
    <x v="0"/>
    <x v="192"/>
    <n v="3680.4"/>
    <n v="6"/>
    <n v="19283.309999999998"/>
    <x v="0"/>
    <n v="0.83972973008281315"/>
  </r>
  <r>
    <s v="ORD00194"/>
    <s v="2025-11-09"/>
    <x v="3"/>
    <x v="0"/>
    <x v="2"/>
    <x v="193"/>
    <n v="5224.42"/>
    <n v="5"/>
    <n v="42383.66"/>
    <x v="6"/>
    <n v="0.89026190512198777"/>
  </r>
  <r>
    <s v="ORD00195"/>
    <s v="2025-10-21"/>
    <x v="1"/>
    <x v="2"/>
    <x v="0"/>
    <x v="194"/>
    <n v="1497.19"/>
    <n v="9"/>
    <n v="22423.18"/>
    <x v="5"/>
    <n v="0.93740941298148817"/>
  </r>
  <r>
    <s v="ORD00196"/>
    <s v="2025-11-18"/>
    <x v="0"/>
    <x v="2"/>
    <x v="0"/>
    <x v="195"/>
    <n v="2259.52"/>
    <n v="2"/>
    <n v="9624.1999999999989"/>
    <x v="6"/>
    <n v="0.8098642512613895"/>
  </r>
  <r>
    <s v="ORD00197"/>
    <s v="2025-03-16"/>
    <x v="1"/>
    <x v="0"/>
    <x v="1"/>
    <x v="196"/>
    <n v="8070.9"/>
    <n v="16"/>
    <n v="39530"/>
    <x v="9"/>
    <n v="0.83044648315473024"/>
  </r>
  <r>
    <s v="ORD00198"/>
    <s v="2025-10-09"/>
    <x v="3"/>
    <x v="0"/>
    <x v="2"/>
    <x v="197"/>
    <n v="2396.46"/>
    <n v="15"/>
    <n v="8899.5"/>
    <x v="5"/>
    <n v="0.7878480447876941"/>
  </r>
  <r>
    <s v="ORD00199"/>
    <s v="2025-01-08"/>
    <x v="1"/>
    <x v="3"/>
    <x v="0"/>
    <x v="198"/>
    <n v="3557.07"/>
    <n v="16"/>
    <n v="19200.66"/>
    <x v="8"/>
    <n v="0.84369838292307708"/>
  </r>
  <r>
    <s v="ORD00200"/>
    <s v="2025-08-14"/>
    <x v="2"/>
    <x v="5"/>
    <x v="1"/>
    <x v="199"/>
    <n v="5884.63"/>
    <n v="12"/>
    <n v="17690.52"/>
    <x v="0"/>
    <n v="0.75038843867377303"/>
  </r>
  <r>
    <s v="ORD00201"/>
    <s v="2025-12-03"/>
    <x v="2"/>
    <x v="5"/>
    <x v="1"/>
    <x v="200"/>
    <n v="1395.03"/>
    <n v="6"/>
    <n v="7112.7"/>
    <x v="11"/>
    <n v="0.83602794164835981"/>
  </r>
  <r>
    <s v="ORD00202"/>
    <s v="2025-11-23"/>
    <x v="2"/>
    <x v="1"/>
    <x v="0"/>
    <x v="201"/>
    <n v="4183.5600000000004"/>
    <n v="8"/>
    <n v="34556.080000000002"/>
    <x v="6"/>
    <n v="0.89200828918389541"/>
  </r>
  <r>
    <s v="ORD00203"/>
    <s v="2025-07-08"/>
    <x v="1"/>
    <x v="1"/>
    <x v="2"/>
    <x v="202"/>
    <n v="56.44"/>
    <n v="8"/>
    <n v="817.77"/>
    <x v="2"/>
    <n v="0.93543885336475208"/>
  </r>
  <r>
    <s v="ORD00204"/>
    <s v="2025-06-06"/>
    <x v="1"/>
    <x v="1"/>
    <x v="2"/>
    <x v="203"/>
    <n v="4072.9"/>
    <n v="18"/>
    <n v="31748.6"/>
    <x v="4"/>
    <n v="0.88630012701868988"/>
  </r>
  <r>
    <s v="ORD00205"/>
    <s v="2025-01-10"/>
    <x v="2"/>
    <x v="5"/>
    <x v="0"/>
    <x v="204"/>
    <n v="4627.13"/>
    <n v="11"/>
    <n v="38651.47"/>
    <x v="8"/>
    <n v="0.89308503509817794"/>
  </r>
  <r>
    <s v="ORD00206"/>
    <s v="2025-03-02"/>
    <x v="3"/>
    <x v="0"/>
    <x v="0"/>
    <x v="205"/>
    <n v="10202.799999999999"/>
    <n v="17"/>
    <n v="33630.729999999996"/>
    <x v="9"/>
    <n v="0.7672375462345834"/>
  </r>
  <r>
    <s v="ORD00207"/>
    <s v="2025-04-14"/>
    <x v="2"/>
    <x v="0"/>
    <x v="2"/>
    <x v="206"/>
    <n v="5088.5600000000004"/>
    <n v="1"/>
    <n v="11982.48"/>
    <x v="1"/>
    <n v="0.70191857086621545"/>
  </r>
  <r>
    <s v="ORD00208"/>
    <s v="2025-02-27"/>
    <x v="0"/>
    <x v="1"/>
    <x v="2"/>
    <x v="207"/>
    <n v="4452.42"/>
    <n v="17"/>
    <n v="37965.480000000003"/>
    <x v="10"/>
    <n v="0.89503440764394282"/>
  </r>
  <r>
    <s v="ORD00209"/>
    <s v="2025-04-13"/>
    <x v="0"/>
    <x v="5"/>
    <x v="2"/>
    <x v="208"/>
    <n v="7987.58"/>
    <n v="17"/>
    <n v="18679.519999999997"/>
    <x v="1"/>
    <n v="0.70047061735246796"/>
  </r>
  <r>
    <s v="ORD00210"/>
    <s v="2025-06-10"/>
    <x v="1"/>
    <x v="4"/>
    <x v="1"/>
    <x v="209"/>
    <n v="7083.14"/>
    <n v="12"/>
    <n v="21240.55"/>
    <x v="4"/>
    <n v="0.74992170864742558"/>
  </r>
  <r>
    <s v="ORD00211"/>
    <s v="2025-12-23"/>
    <x v="3"/>
    <x v="5"/>
    <x v="2"/>
    <x v="210"/>
    <n v="4734.63"/>
    <n v="1"/>
    <n v="29402.670000000002"/>
    <x v="11"/>
    <n v="0.86130625444894582"/>
  </r>
  <r>
    <s v="ORD00212"/>
    <s v="2025-11-01"/>
    <x v="3"/>
    <x v="2"/>
    <x v="0"/>
    <x v="211"/>
    <n v="11103.46"/>
    <n v="3"/>
    <n v="35529.279999999999"/>
    <x v="6"/>
    <n v="0.76189561239592618"/>
  </r>
  <r>
    <s v="ORD00213"/>
    <s v="2025-12-11"/>
    <x v="1"/>
    <x v="5"/>
    <x v="1"/>
    <x v="212"/>
    <n v="4343.62"/>
    <n v="15"/>
    <n v="39811.56"/>
    <x v="11"/>
    <n v="0.90162830272688277"/>
  </r>
  <r>
    <s v="ORD00214"/>
    <s v="2025-02-04"/>
    <x v="2"/>
    <x v="3"/>
    <x v="0"/>
    <x v="213"/>
    <n v="340.98"/>
    <n v="3"/>
    <n v="1863.29"/>
    <x v="10"/>
    <n v="0.84530933143398945"/>
  </r>
  <r>
    <s v="ORD00215"/>
    <s v="2025-11-01"/>
    <x v="3"/>
    <x v="5"/>
    <x v="1"/>
    <x v="214"/>
    <n v="2796.8"/>
    <n v="4"/>
    <n v="21467.920000000002"/>
    <x v="6"/>
    <n v="0.88473800645546297"/>
  </r>
  <r>
    <s v="ORD00216"/>
    <s v="2025-04-28"/>
    <x v="0"/>
    <x v="5"/>
    <x v="0"/>
    <x v="215"/>
    <n v="6461.71"/>
    <n v="13"/>
    <n v="31618.93"/>
    <x v="1"/>
    <n v="0.83031508924219766"/>
  </r>
  <r>
    <s v="ORD00217"/>
    <s v="2025-08-17"/>
    <x v="1"/>
    <x v="4"/>
    <x v="1"/>
    <x v="216"/>
    <n v="1657.09"/>
    <n v="20"/>
    <n v="6812.2800000000007"/>
    <x v="0"/>
    <n v="0.8043431801893175"/>
  </r>
  <r>
    <s v="ORD00218"/>
    <s v="2025-11-05"/>
    <x v="3"/>
    <x v="0"/>
    <x v="2"/>
    <x v="217"/>
    <n v="2807.01"/>
    <n v="18"/>
    <n v="29280.129999999997"/>
    <x v="6"/>
    <n v="0.91251915876578582"/>
  </r>
  <r>
    <s v="ORD00219"/>
    <s v="2025-04-29"/>
    <x v="3"/>
    <x v="1"/>
    <x v="0"/>
    <x v="218"/>
    <n v="663.2"/>
    <n v="11"/>
    <n v="2932.16"/>
    <x v="1"/>
    <n v="0.81554002937118941"/>
  </r>
  <r>
    <s v="ORD00220"/>
    <s v="2025-07-03"/>
    <x v="2"/>
    <x v="5"/>
    <x v="0"/>
    <x v="219"/>
    <n v="2541.12"/>
    <n v="1"/>
    <n v="6309.44"/>
    <x v="2"/>
    <n v="0.71288596427796658"/>
  </r>
  <r>
    <s v="ORD00221"/>
    <s v="2025-09-12"/>
    <x v="1"/>
    <x v="1"/>
    <x v="2"/>
    <x v="220"/>
    <n v="4540.03"/>
    <n v="2"/>
    <n v="16708.240000000002"/>
    <x v="3"/>
    <n v="0.78633413449659673"/>
  </r>
  <r>
    <s v="ORD00222"/>
    <s v="2025-04-11"/>
    <x v="1"/>
    <x v="0"/>
    <x v="0"/>
    <x v="221"/>
    <n v="11379.96"/>
    <n v="13"/>
    <n v="28137.17"/>
    <x v="1"/>
    <n v="0.71202463336785848"/>
  </r>
  <r>
    <s v="ORD00223"/>
    <s v="2025-11-02"/>
    <x v="3"/>
    <x v="2"/>
    <x v="2"/>
    <x v="222"/>
    <n v="7994.75"/>
    <n v="7"/>
    <n v="25120.67"/>
    <x v="6"/>
    <n v="0.75857923589675136"/>
  </r>
  <r>
    <s v="ORD00224"/>
    <s v="2025-03-25"/>
    <x v="1"/>
    <x v="1"/>
    <x v="0"/>
    <x v="223"/>
    <n v="2865.6"/>
    <n v="15"/>
    <n v="28182.9"/>
    <x v="9"/>
    <n v="0.907705686265037"/>
  </r>
  <r>
    <s v="ORD00225"/>
    <s v="2025-08-13"/>
    <x v="1"/>
    <x v="3"/>
    <x v="1"/>
    <x v="224"/>
    <n v="9063.0300000000007"/>
    <n v="7"/>
    <n v="21769.75"/>
    <x v="0"/>
    <n v="0.70605861683571836"/>
  </r>
  <r>
    <s v="ORD00226"/>
    <s v="2025-06-24"/>
    <x v="2"/>
    <x v="4"/>
    <x v="2"/>
    <x v="225"/>
    <n v="3955.67"/>
    <n v="16"/>
    <n v="34148.51"/>
    <x v="4"/>
    <n v="0.89618802976471357"/>
  </r>
  <r>
    <s v="ORD00227"/>
    <s v="2025-02-10"/>
    <x v="2"/>
    <x v="3"/>
    <x v="2"/>
    <x v="226"/>
    <n v="1146.6500000000001"/>
    <n v="9"/>
    <n v="19756.03"/>
    <x v="10"/>
    <n v="0.94514339788008039"/>
  </r>
  <r>
    <s v="ORD00228"/>
    <s v="2025-08-20"/>
    <x v="3"/>
    <x v="1"/>
    <x v="2"/>
    <x v="227"/>
    <n v="6506.29"/>
    <n v="11"/>
    <n v="19573.27"/>
    <x v="0"/>
    <n v="0.75052148119063355"/>
  </r>
  <r>
    <s v="ORD00229"/>
    <s v="2025-09-21"/>
    <x v="0"/>
    <x v="3"/>
    <x v="2"/>
    <x v="228"/>
    <n v="135.78"/>
    <n v="9"/>
    <n v="710.30000000000007"/>
    <x v="3"/>
    <n v="0.83951872163388808"/>
  </r>
  <r>
    <s v="ORD00230"/>
    <s v="2025-10-15"/>
    <x v="1"/>
    <x v="4"/>
    <x v="0"/>
    <x v="229"/>
    <n v="6291.46"/>
    <n v="7"/>
    <n v="20959.010000000002"/>
    <x v="5"/>
    <n v="0.76912471601407251"/>
  </r>
  <r>
    <s v="ORD00231"/>
    <s v="2025-07-08"/>
    <x v="3"/>
    <x v="3"/>
    <x v="1"/>
    <x v="230"/>
    <n v="1218.3800000000001"/>
    <n v="20"/>
    <n v="4315.08"/>
    <x v="2"/>
    <n v="0.77981588373278199"/>
  </r>
  <r>
    <s v="ORD00232"/>
    <s v="2025-02-25"/>
    <x v="3"/>
    <x v="3"/>
    <x v="2"/>
    <x v="231"/>
    <n v="1388.39"/>
    <n v="15"/>
    <n v="11237.04"/>
    <x v="10"/>
    <n v="0.89003226028737248"/>
  </r>
  <r>
    <s v="ORD00233"/>
    <s v="2025-08-21"/>
    <x v="0"/>
    <x v="4"/>
    <x v="2"/>
    <x v="232"/>
    <n v="548.49"/>
    <n v="12"/>
    <n v="5052.45"/>
    <x v="0"/>
    <n v="0.90207179509153823"/>
  </r>
  <r>
    <s v="ORD00234"/>
    <s v="2025-07-23"/>
    <x v="2"/>
    <x v="4"/>
    <x v="0"/>
    <x v="233"/>
    <n v="1480.5"/>
    <n v="4"/>
    <n v="20049.169999999998"/>
    <x v="2"/>
    <n v="0.93123443136843254"/>
  </r>
  <r>
    <s v="ORD00235"/>
    <s v="2025-06-16"/>
    <x v="3"/>
    <x v="4"/>
    <x v="1"/>
    <x v="234"/>
    <n v="10286.969999999999"/>
    <n v="7"/>
    <n v="29824.82"/>
    <x v="4"/>
    <n v="0.74354248464104944"/>
  </r>
  <r>
    <s v="ORD00236"/>
    <s v="2025-10-02"/>
    <x v="3"/>
    <x v="0"/>
    <x v="0"/>
    <x v="235"/>
    <n v="6290.12"/>
    <n v="5"/>
    <n v="28491.969999999998"/>
    <x v="5"/>
    <n v="0.81915635316911661"/>
  </r>
  <r>
    <s v="ORD00237"/>
    <s v="2025-12-08"/>
    <x v="2"/>
    <x v="5"/>
    <x v="1"/>
    <x v="236"/>
    <n v="7258.35"/>
    <n v="16"/>
    <n v="29105.83"/>
    <x v="11"/>
    <n v="0.80039835904453227"/>
  </r>
  <r>
    <s v="ORD00238"/>
    <s v="2025-12-13"/>
    <x v="0"/>
    <x v="2"/>
    <x v="2"/>
    <x v="237"/>
    <n v="4170.17"/>
    <n v="17"/>
    <n v="24833.879999999997"/>
    <x v="11"/>
    <n v="0.85622111394787959"/>
  </r>
  <r>
    <s v="ORD00239"/>
    <s v="2025-10-29"/>
    <x v="0"/>
    <x v="5"/>
    <x v="0"/>
    <x v="238"/>
    <n v="1906.4"/>
    <n v="18"/>
    <n v="14159.18"/>
    <x v="5"/>
    <n v="0.8813363725430392"/>
  </r>
  <r>
    <s v="ORD00240"/>
    <s v="2025-08-03"/>
    <x v="2"/>
    <x v="5"/>
    <x v="0"/>
    <x v="239"/>
    <n v="3206.35"/>
    <n v="8"/>
    <n v="9505.3599999999988"/>
    <x v="0"/>
    <n v="0.74776406950756424"/>
  </r>
  <r>
    <s v="ORD00241"/>
    <s v="2025-04-03"/>
    <x v="3"/>
    <x v="5"/>
    <x v="1"/>
    <x v="240"/>
    <n v="5448.39"/>
    <n v="1"/>
    <n v="31284.57"/>
    <x v="1"/>
    <n v="0.85167571576045054"/>
  </r>
  <r>
    <s v="ORD00242"/>
    <s v="2025-08-05"/>
    <x v="2"/>
    <x v="5"/>
    <x v="0"/>
    <x v="241"/>
    <n v="370.47"/>
    <n v="8"/>
    <n v="5460.25"/>
    <x v="0"/>
    <n v="0.93646239229460504"/>
  </r>
  <r>
    <s v="ORD00243"/>
    <s v="2025-09-09"/>
    <x v="3"/>
    <x v="4"/>
    <x v="2"/>
    <x v="242"/>
    <n v="1919.61"/>
    <n v="8"/>
    <n v="34833.42"/>
    <x v="3"/>
    <n v="0.94777002059422033"/>
  </r>
  <r>
    <s v="ORD00244"/>
    <s v="2025-12-31"/>
    <x v="1"/>
    <x v="3"/>
    <x v="1"/>
    <x v="243"/>
    <n v="3042.16"/>
    <n v="7"/>
    <n v="10587.34"/>
    <x v="11"/>
    <n v="0.77679592061337543"/>
  </r>
  <r>
    <s v="ORD00245"/>
    <s v="2025-12-12"/>
    <x v="3"/>
    <x v="3"/>
    <x v="0"/>
    <x v="244"/>
    <n v="4698.09"/>
    <n v="2"/>
    <n v="14775.3"/>
    <x v="11"/>
    <n v="0.75874308479417296"/>
  </r>
  <r>
    <s v="ORD00246"/>
    <s v="2025-07-08"/>
    <x v="2"/>
    <x v="0"/>
    <x v="1"/>
    <x v="245"/>
    <n v="2719.73"/>
    <n v="13"/>
    <n v="14736.119999999999"/>
    <x v="2"/>
    <n v="0.84419378030860714"/>
  </r>
  <r>
    <s v="ORD00247"/>
    <s v="2025-10-19"/>
    <x v="2"/>
    <x v="3"/>
    <x v="0"/>
    <x v="246"/>
    <n v="3341.09"/>
    <n v="10"/>
    <n v="11940.4"/>
    <x v="5"/>
    <n v="0.78136359739789774"/>
  </r>
  <r>
    <s v="ORD00248"/>
    <s v="2025-04-22"/>
    <x v="0"/>
    <x v="2"/>
    <x v="0"/>
    <x v="247"/>
    <n v="6422.93"/>
    <n v="13"/>
    <n v="28973.019999999997"/>
    <x v="1"/>
    <n v="0.81854053924248393"/>
  </r>
  <r>
    <s v="ORD00249"/>
    <s v="2025-10-15"/>
    <x v="0"/>
    <x v="5"/>
    <x v="0"/>
    <x v="248"/>
    <n v="642.46"/>
    <n v="15"/>
    <n v="1570.4499999999998"/>
    <x v="5"/>
    <n v="0.70967639894979906"/>
  </r>
  <r>
    <s v="ORD00250"/>
    <s v="2025-02-25"/>
    <x v="2"/>
    <x v="0"/>
    <x v="1"/>
    <x v="249"/>
    <n v="1455.71"/>
    <n v="12"/>
    <n v="3570.12"/>
    <x v="10"/>
    <n v="0.71035430963641821"/>
  </r>
  <r>
    <s v="ORD00251"/>
    <s v="2025-01-11"/>
    <x v="1"/>
    <x v="5"/>
    <x v="2"/>
    <x v="250"/>
    <n v="6450.68"/>
    <n v="5"/>
    <n v="16261.41"/>
    <x v="8"/>
    <n v="0.71598034350867756"/>
  </r>
  <r>
    <s v="ORD00252"/>
    <s v="2025-12-11"/>
    <x v="1"/>
    <x v="3"/>
    <x v="0"/>
    <x v="251"/>
    <n v="6632.49"/>
    <n v="11"/>
    <n v="36453.870000000003"/>
    <x v="11"/>
    <n v="0.8460652048583357"/>
  </r>
  <r>
    <s v="ORD00253"/>
    <s v="2025-08-24"/>
    <x v="2"/>
    <x v="2"/>
    <x v="2"/>
    <x v="252"/>
    <n v="1491.62"/>
    <n v="2"/>
    <n v="19390.650000000001"/>
    <x v="0"/>
    <n v="0.92857002615137152"/>
  </r>
  <r>
    <s v="ORD00254"/>
    <s v="2025-12-04"/>
    <x v="3"/>
    <x v="2"/>
    <x v="1"/>
    <x v="253"/>
    <n v="6520.03"/>
    <n v="11"/>
    <n v="22088.68"/>
    <x v="11"/>
    <n v="0.7720963301036643"/>
  </r>
  <r>
    <s v="ORD00255"/>
    <s v="2025-05-26"/>
    <x v="2"/>
    <x v="0"/>
    <x v="1"/>
    <x v="254"/>
    <n v="3013.39"/>
    <n v="17"/>
    <n v="23263.57"/>
    <x v="7"/>
    <n v="0.88532197027357806"/>
  </r>
  <r>
    <s v="ORD00256"/>
    <s v="2025-03-31"/>
    <x v="3"/>
    <x v="5"/>
    <x v="2"/>
    <x v="255"/>
    <n v="652.96"/>
    <n v="7"/>
    <n v="9749.9000000000015"/>
    <x v="9"/>
    <n v="0.93723264563783426"/>
  </r>
  <r>
    <s v="ORD00257"/>
    <s v="2025-08-14"/>
    <x v="1"/>
    <x v="5"/>
    <x v="1"/>
    <x v="256"/>
    <n v="1209.33"/>
    <n v="6"/>
    <n v="5065.01"/>
    <x v="0"/>
    <n v="0.80725781516462292"/>
  </r>
  <r>
    <s v="ORD00258"/>
    <s v="2025-04-21"/>
    <x v="1"/>
    <x v="5"/>
    <x v="2"/>
    <x v="257"/>
    <n v="7975.95"/>
    <n v="11"/>
    <n v="41678.960000000006"/>
    <x v="1"/>
    <n v="0.83937238029431538"/>
  </r>
  <r>
    <s v="ORD00259"/>
    <s v="2025-09-06"/>
    <x v="1"/>
    <x v="2"/>
    <x v="1"/>
    <x v="258"/>
    <n v="5459.51"/>
    <n v="9"/>
    <n v="17383.14"/>
    <x v="3"/>
    <n v="0.7609948933245485"/>
  </r>
  <r>
    <s v="ORD00260"/>
    <s v="2025-05-17"/>
    <x v="1"/>
    <x v="2"/>
    <x v="1"/>
    <x v="259"/>
    <n v="1129.77"/>
    <n v="16"/>
    <n v="9802.2999999999993"/>
    <x v="7"/>
    <n v="0.89665543671052228"/>
  </r>
  <r>
    <s v="ORD00261"/>
    <s v="2025-08-02"/>
    <x v="2"/>
    <x v="1"/>
    <x v="0"/>
    <x v="260"/>
    <n v="5058.71"/>
    <n v="15"/>
    <n v="29543.120000000003"/>
    <x v="0"/>
    <n v="0.85380224109534097"/>
  </r>
  <r>
    <s v="ORD00262"/>
    <s v="2025-04-07"/>
    <x v="0"/>
    <x v="2"/>
    <x v="1"/>
    <x v="261"/>
    <n v="5434.34"/>
    <n v="5"/>
    <n v="13447.07"/>
    <x v="1"/>
    <n v="0.7121856895221278"/>
  </r>
  <r>
    <s v="ORD00263"/>
    <s v="2025-01-06"/>
    <x v="0"/>
    <x v="1"/>
    <x v="2"/>
    <x v="262"/>
    <n v="2539.12"/>
    <n v="6"/>
    <n v="20939.850000000002"/>
    <x v="8"/>
    <n v="0.89185556265883903"/>
  </r>
  <r>
    <s v="ORD00264"/>
    <s v="2025-09-17"/>
    <x v="1"/>
    <x v="0"/>
    <x v="1"/>
    <x v="263"/>
    <n v="2305.38"/>
    <n v="1"/>
    <n v="14275.689999999999"/>
    <x v="3"/>
    <n v="0.86096313446599038"/>
  </r>
  <r>
    <s v="ORD00265"/>
    <s v="2025-10-21"/>
    <x v="1"/>
    <x v="4"/>
    <x v="2"/>
    <x v="264"/>
    <n v="1855.43"/>
    <n v="1"/>
    <n v="15752.810000000001"/>
    <x v="5"/>
    <n v="0.89462717455009699"/>
  </r>
  <r>
    <s v="ORD00266"/>
    <s v="2025-12-21"/>
    <x v="0"/>
    <x v="0"/>
    <x v="0"/>
    <x v="265"/>
    <n v="2309.38"/>
    <n v="3"/>
    <n v="15224.59"/>
    <x v="11"/>
    <n v="0.86829109437280882"/>
  </r>
  <r>
    <s v="ORD00267"/>
    <s v="2025-10-15"/>
    <x v="3"/>
    <x v="3"/>
    <x v="2"/>
    <x v="266"/>
    <n v="1953.56"/>
    <n v="20"/>
    <n v="17711.849999999999"/>
    <x v="5"/>
    <n v="0.90066009302628314"/>
  </r>
  <r>
    <s v="ORD00268"/>
    <s v="2025-04-21"/>
    <x v="0"/>
    <x v="3"/>
    <x v="0"/>
    <x v="267"/>
    <n v="9569.75"/>
    <n v="8"/>
    <n v="22662.22"/>
    <x v="1"/>
    <n v="0.70309757672273832"/>
  </r>
  <r>
    <s v="ORD00269"/>
    <s v="2025-10-14"/>
    <x v="3"/>
    <x v="1"/>
    <x v="0"/>
    <x v="268"/>
    <n v="936.9"/>
    <n v="10"/>
    <n v="16911.96"/>
    <x v="5"/>
    <n v="0.94750925269176844"/>
  </r>
  <r>
    <s v="ORD00270"/>
    <s v="2025-11-11"/>
    <x v="2"/>
    <x v="0"/>
    <x v="2"/>
    <x v="269"/>
    <n v="3015.38"/>
    <n v="20"/>
    <n v="25459.489999999998"/>
    <x v="6"/>
    <n v="0.89410381856001442"/>
  </r>
  <r>
    <s v="ORD00271"/>
    <s v="2025-08-21"/>
    <x v="1"/>
    <x v="5"/>
    <x v="2"/>
    <x v="270"/>
    <n v="6000.05"/>
    <n v="9"/>
    <n v="15479.760000000002"/>
    <x v="0"/>
    <n v="0.72066559247963557"/>
  </r>
  <r>
    <s v="ORD00272"/>
    <s v="2025-04-04"/>
    <x v="2"/>
    <x v="0"/>
    <x v="0"/>
    <x v="271"/>
    <n v="2535.98"/>
    <n v="12"/>
    <n v="14414.34"/>
    <x v="1"/>
    <n v="0.85038748531001185"/>
  </r>
  <r>
    <s v="ORD00273"/>
    <s v="2025-05-27"/>
    <x v="3"/>
    <x v="1"/>
    <x v="1"/>
    <x v="272"/>
    <n v="8584.7999999999993"/>
    <n v="4"/>
    <n v="40826.850000000006"/>
    <x v="7"/>
    <n v="0.82625959667406379"/>
  </r>
  <r>
    <s v="ORD00274"/>
    <s v="2025-07-05"/>
    <x v="2"/>
    <x v="0"/>
    <x v="1"/>
    <x v="273"/>
    <n v="2029.24"/>
    <n v="9"/>
    <n v="14079.26"/>
    <x v="2"/>
    <n v="0.87402675606046498"/>
  </r>
  <r>
    <s v="ORD00275"/>
    <s v="2025-10-06"/>
    <x v="1"/>
    <x v="2"/>
    <x v="0"/>
    <x v="274"/>
    <n v="2034.85"/>
    <n v="13"/>
    <n v="13028.359999999999"/>
    <x v="5"/>
    <n v="0.86491259167202739"/>
  </r>
  <r>
    <s v="ORD00276"/>
    <s v="2025-12-01"/>
    <x v="1"/>
    <x v="2"/>
    <x v="1"/>
    <x v="275"/>
    <n v="3475.39"/>
    <n v="10"/>
    <n v="24890.47"/>
    <x v="11"/>
    <n v="0.87747982962617743"/>
  </r>
  <r>
    <s v="ORD00277"/>
    <s v="2025-07-04"/>
    <x v="2"/>
    <x v="5"/>
    <x v="0"/>
    <x v="276"/>
    <n v="4862.53"/>
    <n v="4"/>
    <n v="24706.27"/>
    <x v="2"/>
    <n v="0.83555200075755531"/>
  </r>
  <r>
    <s v="ORD00278"/>
    <s v="2025-09-16"/>
    <x v="2"/>
    <x v="4"/>
    <x v="0"/>
    <x v="277"/>
    <n v="9028.5400000000009"/>
    <n v="8"/>
    <n v="36252.299999999996"/>
    <x v="3"/>
    <n v="0.80061014769160643"/>
  </r>
  <r>
    <s v="ORD00279"/>
    <s v="2025-01-09"/>
    <x v="0"/>
    <x v="4"/>
    <x v="2"/>
    <x v="278"/>
    <n v="2064.34"/>
    <n v="14"/>
    <n v="19433.88"/>
    <x v="8"/>
    <n v="0.90397623617211098"/>
  </r>
  <r>
    <s v="ORD00280"/>
    <s v="2025-11-14"/>
    <x v="2"/>
    <x v="0"/>
    <x v="0"/>
    <x v="279"/>
    <n v="1211.4100000000001"/>
    <n v="10"/>
    <n v="3624.76"/>
    <x v="6"/>
    <n v="0.74951045972329344"/>
  </r>
  <r>
    <s v="ORD00281"/>
    <s v="2025-04-15"/>
    <x v="1"/>
    <x v="2"/>
    <x v="0"/>
    <x v="280"/>
    <n v="54.76"/>
    <n v="1"/>
    <n v="862.02"/>
    <x v="1"/>
    <n v="0.94026920308034645"/>
  </r>
  <r>
    <s v="ORD00282"/>
    <s v="2025-12-11"/>
    <x v="0"/>
    <x v="4"/>
    <x v="0"/>
    <x v="281"/>
    <n v="2822.89"/>
    <n v="10"/>
    <n v="11299.25"/>
    <x v="11"/>
    <n v="0.80010890700701176"/>
  </r>
  <r>
    <s v="ORD00283"/>
    <s v="2025-05-23"/>
    <x v="0"/>
    <x v="0"/>
    <x v="2"/>
    <x v="282"/>
    <n v="9679.4699999999993"/>
    <n v="17"/>
    <n v="29496.549999999996"/>
    <x v="7"/>
    <n v="0.7529235996918523"/>
  </r>
  <r>
    <s v="ORD00284"/>
    <s v="2025-07-31"/>
    <x v="0"/>
    <x v="1"/>
    <x v="0"/>
    <x v="283"/>
    <n v="759.43"/>
    <n v="5"/>
    <n v="7842.6100000000006"/>
    <x v="2"/>
    <n v="0.91171512803939525"/>
  </r>
  <r>
    <s v="ORD00285"/>
    <s v="2025-11-09"/>
    <x v="3"/>
    <x v="2"/>
    <x v="1"/>
    <x v="284"/>
    <n v="289.63"/>
    <n v="12"/>
    <n v="2678.81"/>
    <x v="6"/>
    <n v="0.90243023271482659"/>
  </r>
  <r>
    <s v="ORD00286"/>
    <s v="2025-05-23"/>
    <x v="3"/>
    <x v="0"/>
    <x v="1"/>
    <x v="285"/>
    <n v="4542.16"/>
    <n v="16"/>
    <n v="20444.77"/>
    <x v="7"/>
    <n v="0.81821856466560716"/>
  </r>
  <r>
    <s v="ORD00287"/>
    <s v="2025-03-06"/>
    <x v="2"/>
    <x v="5"/>
    <x v="0"/>
    <x v="286"/>
    <n v="3829.15"/>
    <n v="6"/>
    <n v="13261.949999999999"/>
    <x v="9"/>
    <n v="0.77595649197535554"/>
  </r>
  <r>
    <s v="ORD00288"/>
    <s v="2025-11-25"/>
    <x v="1"/>
    <x v="0"/>
    <x v="1"/>
    <x v="287"/>
    <n v="2085.02"/>
    <n v="17"/>
    <n v="29302.75"/>
    <x v="6"/>
    <n v="0.93357221618483888"/>
  </r>
  <r>
    <s v="ORD00289"/>
    <s v="2025-08-28"/>
    <x v="1"/>
    <x v="1"/>
    <x v="0"/>
    <x v="288"/>
    <n v="2841.97"/>
    <n v="16"/>
    <n v="6782.5600000000013"/>
    <x v="0"/>
    <n v="0.70471597054609425"/>
  </r>
  <r>
    <s v="ORD00290"/>
    <s v="2025-10-06"/>
    <x v="1"/>
    <x v="0"/>
    <x v="0"/>
    <x v="289"/>
    <n v="10553.15"/>
    <n v="5"/>
    <n v="29843.39"/>
    <x v="5"/>
    <n v="0.73876104240610707"/>
  </r>
  <r>
    <s v="ORD00291"/>
    <s v="2025-08-05"/>
    <x v="2"/>
    <x v="0"/>
    <x v="0"/>
    <x v="290"/>
    <n v="5316.24"/>
    <n v="14"/>
    <n v="20884.900000000001"/>
    <x v="0"/>
    <n v="0.79709890485681167"/>
  </r>
  <r>
    <s v="ORD00292"/>
    <s v="2025-01-26"/>
    <x v="2"/>
    <x v="5"/>
    <x v="0"/>
    <x v="291"/>
    <n v="7458.9"/>
    <n v="14"/>
    <n v="23907.75"/>
    <x v="8"/>
    <n v="0.76220284920448944"/>
  </r>
  <r>
    <s v="ORD00293"/>
    <s v="2025-10-29"/>
    <x v="3"/>
    <x v="1"/>
    <x v="0"/>
    <x v="292"/>
    <n v="2404.9499999999998"/>
    <n v="20"/>
    <n v="12010.099999999999"/>
    <x v="5"/>
    <n v="0.83316395017707179"/>
  </r>
  <r>
    <s v="ORD00294"/>
    <s v="2025-12-06"/>
    <x v="1"/>
    <x v="1"/>
    <x v="0"/>
    <x v="293"/>
    <n v="2955.28"/>
    <n v="11"/>
    <n v="14478.859999999999"/>
    <x v="11"/>
    <n v="0.83048891427968341"/>
  </r>
  <r>
    <s v="ORD00295"/>
    <s v="2025-02-08"/>
    <x v="0"/>
    <x v="1"/>
    <x v="0"/>
    <x v="294"/>
    <n v="4429.84"/>
    <n v="2"/>
    <n v="30989.87"/>
    <x v="10"/>
    <n v="0.87493291164721565"/>
  </r>
  <r>
    <s v="ORD00296"/>
    <s v="2025-01-02"/>
    <x v="0"/>
    <x v="5"/>
    <x v="1"/>
    <x v="295"/>
    <n v="9324.59"/>
    <n v="16"/>
    <n v="26598.109999999997"/>
    <x v="8"/>
    <n v="0.7404262485837646"/>
  </r>
  <r>
    <s v="ORD00297"/>
    <s v="2025-10-16"/>
    <x v="2"/>
    <x v="4"/>
    <x v="2"/>
    <x v="296"/>
    <n v="11505.28"/>
    <n v="2"/>
    <n v="32997.03"/>
    <x v="5"/>
    <n v="0.7414678024578949"/>
  </r>
  <r>
    <s v="ORD00298"/>
    <s v="2025-08-29"/>
    <x v="1"/>
    <x v="3"/>
    <x v="2"/>
    <x v="297"/>
    <n v="2387.75"/>
    <n v="20"/>
    <n v="5769.65"/>
    <x v="0"/>
    <n v="0.70729031308995516"/>
  </r>
  <r>
    <s v="ORD00299"/>
    <s v="2025-06-16"/>
    <x v="1"/>
    <x v="1"/>
    <x v="2"/>
    <x v="298"/>
    <n v="930.39"/>
    <n v="14"/>
    <n v="2319.3200000000002"/>
    <x v="4"/>
    <n v="0.71370060713109784"/>
  </r>
  <r>
    <s v="ORD00300"/>
    <s v="2025-01-31"/>
    <x v="0"/>
    <x v="3"/>
    <x v="1"/>
    <x v="299"/>
    <n v="4802.37"/>
    <n v="18"/>
    <n v="17298.120000000003"/>
    <x v="8"/>
    <n v="0.78270300794235792"/>
  </r>
  <r>
    <s v="ORD00301"/>
    <s v="2025-05-10"/>
    <x v="2"/>
    <x v="0"/>
    <x v="2"/>
    <x v="300"/>
    <n v="1876.48"/>
    <n v="17"/>
    <n v="11904.61"/>
    <x v="7"/>
    <n v="0.86383660508711579"/>
  </r>
  <r>
    <s v="ORD00302"/>
    <s v="2025-03-04"/>
    <x v="3"/>
    <x v="2"/>
    <x v="1"/>
    <x v="301"/>
    <n v="1351.96"/>
    <n v="1"/>
    <n v="25267.56"/>
    <x v="9"/>
    <n v="0.94921170629673268"/>
  </r>
  <r>
    <s v="ORD00303"/>
    <s v="2025-08-17"/>
    <x v="2"/>
    <x v="5"/>
    <x v="0"/>
    <x v="302"/>
    <n v="2010.77"/>
    <n v="2"/>
    <n v="17237.39"/>
    <x v="0"/>
    <n v="0.89553443030398749"/>
  </r>
  <r>
    <s v="ORD00304"/>
    <s v="2025-01-28"/>
    <x v="2"/>
    <x v="1"/>
    <x v="1"/>
    <x v="303"/>
    <n v="7579.2"/>
    <n v="19"/>
    <n v="34756.639999999999"/>
    <x v="8"/>
    <n v="0.82097438009969814"/>
  </r>
  <r>
    <s v="ORD00305"/>
    <s v="2025-03-22"/>
    <x v="0"/>
    <x v="5"/>
    <x v="0"/>
    <x v="304"/>
    <n v="2316.3000000000002"/>
    <n v="1"/>
    <n v="19495.560000000001"/>
    <x v="9"/>
    <n v="0.89380548013786998"/>
  </r>
  <r>
    <s v="ORD00306"/>
    <s v="2025-03-26"/>
    <x v="2"/>
    <x v="1"/>
    <x v="2"/>
    <x v="305"/>
    <n v="4267.74"/>
    <n v="12"/>
    <n v="34274.01"/>
    <x v="9"/>
    <n v="0.88926968806553941"/>
  </r>
  <r>
    <s v="ORD00307"/>
    <s v="2025-01-30"/>
    <x v="2"/>
    <x v="3"/>
    <x v="2"/>
    <x v="306"/>
    <n v="5028.83"/>
    <n v="2"/>
    <n v="18734.830000000002"/>
    <x v="8"/>
    <n v="0.78838150352260561"/>
  </r>
  <r>
    <s v="ORD00308"/>
    <s v="2025-01-11"/>
    <x v="0"/>
    <x v="1"/>
    <x v="2"/>
    <x v="307"/>
    <n v="4916.09"/>
    <n v="3"/>
    <n v="29161.780000000002"/>
    <x v="8"/>
    <n v="0.85573951658363623"/>
  </r>
  <r>
    <s v="ORD00309"/>
    <s v="2025-09-29"/>
    <x v="1"/>
    <x v="5"/>
    <x v="2"/>
    <x v="308"/>
    <n v="1286.8699999999999"/>
    <n v="5"/>
    <n v="4858.5"/>
    <x v="3"/>
    <n v="0.79059519605817064"/>
  </r>
  <r>
    <s v="ORD00310"/>
    <s v="2025-09-13"/>
    <x v="0"/>
    <x v="2"/>
    <x v="2"/>
    <x v="309"/>
    <n v="4030.14"/>
    <n v="6"/>
    <n v="20295.13"/>
    <x v="3"/>
    <n v="0.83432290782383922"/>
  </r>
  <r>
    <s v="ORD00311"/>
    <s v="2025-01-24"/>
    <x v="3"/>
    <x v="1"/>
    <x v="2"/>
    <x v="310"/>
    <n v="4620.17"/>
    <n v="19"/>
    <n v="36409.78"/>
    <x v="8"/>
    <n v="0.88739518327465672"/>
  </r>
  <r>
    <s v="ORD00312"/>
    <s v="2025-09-05"/>
    <x v="0"/>
    <x v="0"/>
    <x v="1"/>
    <x v="311"/>
    <n v="7154.71"/>
    <n v="11"/>
    <n v="28736.9"/>
    <x v="3"/>
    <n v="0.80065786962468388"/>
  </r>
  <r>
    <s v="ORD00313"/>
    <s v="2025-11-08"/>
    <x v="2"/>
    <x v="4"/>
    <x v="2"/>
    <x v="312"/>
    <n v="11863.17"/>
    <n v="4"/>
    <n v="30736.75"/>
    <x v="6"/>
    <n v="0.72152130802123571"/>
  </r>
  <r>
    <s v="ORD00314"/>
    <s v="2025-03-09"/>
    <x v="2"/>
    <x v="0"/>
    <x v="0"/>
    <x v="313"/>
    <n v="387.86"/>
    <n v="7"/>
    <n v="4483.3500000000004"/>
    <x v="9"/>
    <n v="0.92037707263698354"/>
  </r>
  <r>
    <s v="ORD00315"/>
    <s v="2025-09-23"/>
    <x v="3"/>
    <x v="1"/>
    <x v="2"/>
    <x v="314"/>
    <n v="2876.74"/>
    <n v="3"/>
    <n v="34138.660000000003"/>
    <x v="3"/>
    <n v="0.92228261750514662"/>
  </r>
  <r>
    <s v="ORD00316"/>
    <s v="2025-11-16"/>
    <x v="3"/>
    <x v="3"/>
    <x v="0"/>
    <x v="315"/>
    <n v="6757.92"/>
    <n v="8"/>
    <n v="15872.749999999998"/>
    <x v="6"/>
    <n v="0.70138223923551535"/>
  </r>
  <r>
    <s v="ORD00317"/>
    <s v="2025-03-09"/>
    <x v="3"/>
    <x v="3"/>
    <x v="1"/>
    <x v="316"/>
    <n v="666.57"/>
    <n v="15"/>
    <n v="4067.0099999999998"/>
    <x v="9"/>
    <n v="0.85918269047951024"/>
  </r>
  <r>
    <s v="ORD00318"/>
    <s v="2025-07-03"/>
    <x v="0"/>
    <x v="2"/>
    <x v="0"/>
    <x v="317"/>
    <n v="307.22000000000003"/>
    <n v="11"/>
    <n v="1677.52"/>
    <x v="2"/>
    <n v="0.84520894424458615"/>
  </r>
  <r>
    <s v="ORD00319"/>
    <s v="2025-05-20"/>
    <x v="0"/>
    <x v="0"/>
    <x v="2"/>
    <x v="318"/>
    <n v="3805.86"/>
    <n v="9"/>
    <n v="11150.31"/>
    <x v="7"/>
    <n v="0.74553244580664702"/>
  </r>
  <r>
    <s v="ORD00320"/>
    <s v="2025-04-20"/>
    <x v="0"/>
    <x v="5"/>
    <x v="1"/>
    <x v="319"/>
    <n v="2978.09"/>
    <n v="15"/>
    <n v="8186.6"/>
    <x v="1"/>
    <n v="0.73325815584669163"/>
  </r>
  <r>
    <s v="ORD00321"/>
    <s v="2025-09-21"/>
    <x v="1"/>
    <x v="0"/>
    <x v="2"/>
    <x v="320"/>
    <n v="10424.31"/>
    <n v="1"/>
    <n v="33920.550000000003"/>
    <x v="3"/>
    <n v="0.76492630713007104"/>
  </r>
  <r>
    <s v="ORD00322"/>
    <s v="2025-04-28"/>
    <x v="0"/>
    <x v="4"/>
    <x v="0"/>
    <x v="321"/>
    <n v="1661.93"/>
    <n v="5"/>
    <n v="7281.99"/>
    <x v="1"/>
    <n v="0.81418326639773164"/>
  </r>
  <r>
    <s v="ORD00323"/>
    <s v="2025-02-05"/>
    <x v="3"/>
    <x v="3"/>
    <x v="1"/>
    <x v="322"/>
    <n v="3443.16"/>
    <n v="6"/>
    <n v="8992.07"/>
    <x v="10"/>
    <n v="0.72311247962442193"/>
  </r>
  <r>
    <s v="ORD00324"/>
    <s v="2025-01-05"/>
    <x v="3"/>
    <x v="2"/>
    <x v="2"/>
    <x v="323"/>
    <n v="6486.45"/>
    <n v="20"/>
    <n v="24339.35"/>
    <x v="8"/>
    <n v="0.78957723724931705"/>
  </r>
  <r>
    <s v="ORD00325"/>
    <s v="2025-06-21"/>
    <x v="3"/>
    <x v="0"/>
    <x v="2"/>
    <x v="324"/>
    <n v="6293.56"/>
    <n v="18"/>
    <n v="15057.039999999997"/>
    <x v="4"/>
    <n v="0.70522795612301281"/>
  </r>
  <r>
    <s v="ORD00326"/>
    <s v="2025-04-29"/>
    <x v="1"/>
    <x v="2"/>
    <x v="2"/>
    <x v="325"/>
    <n v="4278.93"/>
    <n v="5"/>
    <n v="15527.25"/>
    <x v="1"/>
    <n v="0.78395985495436271"/>
  </r>
  <r>
    <s v="ORD00327"/>
    <s v="2025-08-20"/>
    <x v="3"/>
    <x v="4"/>
    <x v="0"/>
    <x v="326"/>
    <n v="2931.56"/>
    <n v="10"/>
    <n v="10459.950000000001"/>
    <x v="0"/>
    <n v="0.78108816705509687"/>
  </r>
  <r>
    <s v="ORD00328"/>
    <s v="2025-05-19"/>
    <x v="1"/>
    <x v="3"/>
    <x v="0"/>
    <x v="327"/>
    <n v="391.89"/>
    <n v="16"/>
    <n v="7092.67"/>
    <x v="7"/>
    <n v="0.94764020864285936"/>
  </r>
  <r>
    <s v="ORD00329"/>
    <s v="2025-12-29"/>
    <x v="0"/>
    <x v="2"/>
    <x v="1"/>
    <x v="328"/>
    <n v="3704.65"/>
    <n v="20"/>
    <n v="45343.59"/>
    <x v="11"/>
    <n v="0.92446925720474371"/>
  </r>
  <r>
    <s v="ORD00330"/>
    <s v="2025-03-24"/>
    <x v="0"/>
    <x v="2"/>
    <x v="2"/>
    <x v="329"/>
    <n v="10713.58"/>
    <n v="5"/>
    <n v="38209.85"/>
    <x v="9"/>
    <n v="0.78101330998255847"/>
  </r>
  <r>
    <s v="ORD00331"/>
    <s v="2025-08-17"/>
    <x v="0"/>
    <x v="0"/>
    <x v="2"/>
    <x v="330"/>
    <n v="974.17"/>
    <n v="18"/>
    <n v="4654.55"/>
    <x v="0"/>
    <n v="0.82692868005514575"/>
  </r>
  <r>
    <s v="ORD00332"/>
    <s v="2025-07-17"/>
    <x v="0"/>
    <x v="4"/>
    <x v="2"/>
    <x v="331"/>
    <n v="3117.32"/>
    <n v="15"/>
    <n v="35046.5"/>
    <x v="2"/>
    <n v="0.91831740114066152"/>
  </r>
  <r>
    <s v="ORD00333"/>
    <s v="2025-03-07"/>
    <x v="3"/>
    <x v="5"/>
    <x v="2"/>
    <x v="332"/>
    <n v="5798.51"/>
    <n v="4"/>
    <n v="22000.79"/>
    <x v="9"/>
    <n v="0.79141525146316638"/>
  </r>
  <r>
    <s v="ORD00334"/>
    <s v="2025-01-08"/>
    <x v="1"/>
    <x v="0"/>
    <x v="2"/>
    <x v="333"/>
    <n v="3791.04"/>
    <n v="16"/>
    <n v="16194.2"/>
    <x v="8"/>
    <n v="0.81030800730939434"/>
  </r>
  <r>
    <s v="ORD00335"/>
    <s v="2025-06-27"/>
    <x v="1"/>
    <x v="2"/>
    <x v="1"/>
    <x v="334"/>
    <n v="5357.89"/>
    <n v="4"/>
    <n v="34720.32"/>
    <x v="4"/>
    <n v="0.86631413927917444"/>
  </r>
  <r>
    <s v="ORD00336"/>
    <s v="2025-03-17"/>
    <x v="0"/>
    <x v="2"/>
    <x v="0"/>
    <x v="335"/>
    <n v="2941.29"/>
    <n v="20"/>
    <n v="8085.2300000000005"/>
    <x v="9"/>
    <n v="0.73325310252010611"/>
  </r>
  <r>
    <s v="ORD00337"/>
    <s v="2025-06-28"/>
    <x v="0"/>
    <x v="3"/>
    <x v="0"/>
    <x v="336"/>
    <n v="2737.21"/>
    <n v="3"/>
    <n v="13498.46"/>
    <x v="4"/>
    <n v="0.831407635163809"/>
  </r>
  <r>
    <s v="ORD00338"/>
    <s v="2025-10-02"/>
    <x v="1"/>
    <x v="3"/>
    <x v="0"/>
    <x v="337"/>
    <n v="3413.99"/>
    <n v="9"/>
    <n v="12141.09"/>
    <x v="5"/>
    <n v="0.78052250454513894"/>
  </r>
  <r>
    <s v="ORD00339"/>
    <s v="2025-06-20"/>
    <x v="2"/>
    <x v="3"/>
    <x v="0"/>
    <x v="338"/>
    <n v="1607.54"/>
    <n v="12"/>
    <n v="10447.419999999998"/>
    <x v="4"/>
    <n v="0.86664908054443968"/>
  </r>
  <r>
    <s v="ORD00340"/>
    <s v="2025-12-14"/>
    <x v="3"/>
    <x v="2"/>
    <x v="0"/>
    <x v="339"/>
    <n v="1321.83"/>
    <n v="13"/>
    <n v="10725.64"/>
    <x v="11"/>
    <n v="0.89028152798886406"/>
  </r>
  <r>
    <s v="ORD00341"/>
    <s v="2025-10-04"/>
    <x v="2"/>
    <x v="5"/>
    <x v="0"/>
    <x v="340"/>
    <n v="1236.27"/>
    <n v="1"/>
    <n v="18966.28"/>
    <x v="5"/>
    <n v="0.93880623980636102"/>
  </r>
  <r>
    <s v="ORD00342"/>
    <s v="2025-10-17"/>
    <x v="2"/>
    <x v="2"/>
    <x v="2"/>
    <x v="341"/>
    <n v="7982.96"/>
    <n v="2"/>
    <n v="38879.68"/>
    <x v="5"/>
    <n v="0.82965193595580622"/>
  </r>
  <r>
    <s v="ORD00343"/>
    <s v="2025-07-03"/>
    <x v="3"/>
    <x v="5"/>
    <x v="2"/>
    <x v="342"/>
    <n v="4768.71"/>
    <n v="15"/>
    <n v="36246.770000000004"/>
    <x v="2"/>
    <n v="0.88373389754307397"/>
  </r>
  <r>
    <s v="ORD00344"/>
    <s v="2025-07-27"/>
    <x v="3"/>
    <x v="0"/>
    <x v="2"/>
    <x v="343"/>
    <n v="5280.81"/>
    <n v="14"/>
    <n v="22535.079999999998"/>
    <x v="2"/>
    <n v="0.81015131998293055"/>
  </r>
  <r>
    <s v="ORD00345"/>
    <s v="2025-04-28"/>
    <x v="2"/>
    <x v="4"/>
    <x v="2"/>
    <x v="344"/>
    <n v="4677.01"/>
    <n v="4"/>
    <n v="24462.28"/>
    <x v="1"/>
    <n v="0.83949471658369157"/>
  </r>
  <r>
    <s v="ORD00346"/>
    <s v="2025-06-26"/>
    <x v="2"/>
    <x v="2"/>
    <x v="2"/>
    <x v="345"/>
    <n v="9179.1"/>
    <n v="7"/>
    <n v="25575.910000000003"/>
    <x v="4"/>
    <n v="0.73589131466226021"/>
  </r>
  <r>
    <s v="ORD00347"/>
    <s v="2025-11-30"/>
    <x v="0"/>
    <x v="4"/>
    <x v="1"/>
    <x v="346"/>
    <n v="3794.39"/>
    <n v="10"/>
    <n v="29745.120000000003"/>
    <x v="6"/>
    <n v="0.88686805501928923"/>
  </r>
  <r>
    <s v="ORD00348"/>
    <s v="2025-10-05"/>
    <x v="0"/>
    <x v="5"/>
    <x v="2"/>
    <x v="347"/>
    <n v="2550.6999999999998"/>
    <n v="14"/>
    <n v="7406.19"/>
    <x v="5"/>
    <n v="0.74382563230084897"/>
  </r>
  <r>
    <s v="ORD00349"/>
    <s v="2025-06-27"/>
    <x v="2"/>
    <x v="2"/>
    <x v="0"/>
    <x v="348"/>
    <n v="6526.93"/>
    <n v="4"/>
    <n v="21750.51"/>
    <x v="4"/>
    <n v="0.76918242952685956"/>
  </r>
  <r>
    <s v="ORD00350"/>
    <s v="2025-04-17"/>
    <x v="1"/>
    <x v="0"/>
    <x v="2"/>
    <x v="349"/>
    <n v="2397.13"/>
    <n v="7"/>
    <n v="16336.289999999997"/>
    <x v="1"/>
    <n v="0.87203991582957086"/>
  </r>
  <r>
    <s v="ORD00351"/>
    <s v="2025-02-24"/>
    <x v="1"/>
    <x v="5"/>
    <x v="2"/>
    <x v="350"/>
    <n v="1046.3900000000001"/>
    <n v="13"/>
    <n v="9599.4600000000009"/>
    <x v="10"/>
    <n v="0.90170911669805609"/>
  </r>
  <r>
    <s v="ORD00352"/>
    <s v="2025-03-26"/>
    <x v="3"/>
    <x v="2"/>
    <x v="2"/>
    <x v="351"/>
    <n v="1155.25"/>
    <n v="13"/>
    <n v="18482.25"/>
    <x v="9"/>
    <n v="0.94117122851686819"/>
  </r>
  <r>
    <s v="ORD00353"/>
    <s v="2025-03-20"/>
    <x v="3"/>
    <x v="1"/>
    <x v="1"/>
    <x v="352"/>
    <n v="7674.58"/>
    <n v="17"/>
    <n v="18325.11"/>
    <x v="9"/>
    <n v="0.70482032670389538"/>
  </r>
  <r>
    <s v="ORD00354"/>
    <s v="2025-05-03"/>
    <x v="1"/>
    <x v="0"/>
    <x v="1"/>
    <x v="353"/>
    <n v="4283.04"/>
    <n v="5"/>
    <n v="42855.88"/>
    <x v="7"/>
    <n v="0.90914004818099348"/>
  </r>
  <r>
    <s v="ORD00355"/>
    <s v="2025-06-29"/>
    <x v="2"/>
    <x v="2"/>
    <x v="0"/>
    <x v="354"/>
    <n v="3319.75"/>
    <n v="17"/>
    <n v="29744.54"/>
    <x v="4"/>
    <n v="0.89959711822029143"/>
  </r>
  <r>
    <s v="ORD00356"/>
    <s v="2025-10-20"/>
    <x v="3"/>
    <x v="1"/>
    <x v="0"/>
    <x v="355"/>
    <n v="852.17"/>
    <n v="20"/>
    <n v="4442.8"/>
    <x v="5"/>
    <n v="0.83906046682039748"/>
  </r>
  <r>
    <s v="ORD00357"/>
    <s v="2025-10-07"/>
    <x v="0"/>
    <x v="3"/>
    <x v="0"/>
    <x v="356"/>
    <n v="1799.19"/>
    <n v="11"/>
    <n v="16620.63"/>
    <x v="5"/>
    <n v="0.90232314973761962"/>
  </r>
  <r>
    <s v="ORD00358"/>
    <s v="2025-06-23"/>
    <x v="3"/>
    <x v="4"/>
    <x v="1"/>
    <x v="357"/>
    <n v="3104.14"/>
    <n v="15"/>
    <n v="46836.31"/>
    <x v="4"/>
    <n v="0.9378431712169194"/>
  </r>
  <r>
    <s v="ORD00359"/>
    <s v="2025-03-13"/>
    <x v="1"/>
    <x v="1"/>
    <x v="2"/>
    <x v="358"/>
    <n v="3937"/>
    <n v="8"/>
    <n v="19893.169999999998"/>
    <x v="9"/>
    <n v="0.83478926084035487"/>
  </r>
  <r>
    <s v="ORD00360"/>
    <s v="2025-01-29"/>
    <x v="2"/>
    <x v="2"/>
    <x v="2"/>
    <x v="359"/>
    <n v="109.9"/>
    <n v="4"/>
    <n v="1588.6599999999999"/>
    <x v="8"/>
    <n v="0.93529813489073088"/>
  </r>
  <r>
    <s v="ORD00361"/>
    <s v="2025-03-11"/>
    <x v="3"/>
    <x v="3"/>
    <x v="1"/>
    <x v="360"/>
    <n v="3849.13"/>
    <n v="17"/>
    <n v="39071.770000000004"/>
    <x v="9"/>
    <n v="0.91032038004794869"/>
  </r>
  <r>
    <s v="ORD00362"/>
    <s v="2025-05-19"/>
    <x v="3"/>
    <x v="1"/>
    <x v="0"/>
    <x v="361"/>
    <n v="3345.42"/>
    <n v="12"/>
    <n v="33986.97"/>
    <x v="7"/>
    <n v="0.91038827141792966"/>
  </r>
  <r>
    <s v="ORD00363"/>
    <s v="2025-12-15"/>
    <x v="0"/>
    <x v="0"/>
    <x v="1"/>
    <x v="362"/>
    <n v="835.65"/>
    <n v="8"/>
    <n v="2041.1799999999998"/>
    <x v="11"/>
    <n v="0.70952402470775122"/>
  </r>
  <r>
    <s v="ORD00364"/>
    <s v="2025-04-05"/>
    <x v="1"/>
    <x v="5"/>
    <x v="1"/>
    <x v="363"/>
    <n v="9896.94"/>
    <n v="9"/>
    <n v="23455.54"/>
    <x v="1"/>
    <n v="0.70326224616580235"/>
  </r>
  <r>
    <s v="ORD00365"/>
    <s v="2025-11-12"/>
    <x v="1"/>
    <x v="3"/>
    <x v="1"/>
    <x v="364"/>
    <n v="8912.52"/>
    <n v="5"/>
    <n v="27524.899999999998"/>
    <x v="6"/>
    <n v="0.75540200156871695"/>
  </r>
  <r>
    <s v="ORD00366"/>
    <s v="2025-01-05"/>
    <x v="1"/>
    <x v="4"/>
    <x v="0"/>
    <x v="365"/>
    <n v="2082.41"/>
    <n v="14"/>
    <n v="9910.2999999999993"/>
    <x v="8"/>
    <n v="0.8263603472442842"/>
  </r>
  <r>
    <s v="ORD00367"/>
    <s v="2025-01-03"/>
    <x v="2"/>
    <x v="1"/>
    <x v="2"/>
    <x v="366"/>
    <n v="2958.55"/>
    <n v="4"/>
    <n v="17960.55"/>
    <x v="8"/>
    <n v="0.85857183148414606"/>
  </r>
  <r>
    <s v="ORD00368"/>
    <s v="2025-01-09"/>
    <x v="1"/>
    <x v="1"/>
    <x v="1"/>
    <x v="367"/>
    <n v="5430.98"/>
    <n v="20"/>
    <n v="27453.930000000004"/>
    <x v="8"/>
    <n v="0.83484887141245034"/>
  </r>
  <r>
    <s v="ORD00369"/>
    <s v="2025-10-13"/>
    <x v="2"/>
    <x v="2"/>
    <x v="2"/>
    <x v="368"/>
    <n v="1506.66"/>
    <n v="6"/>
    <n v="13864.130000000001"/>
    <x v="5"/>
    <n v="0.9019790134404283"/>
  </r>
  <r>
    <s v="ORD00370"/>
    <s v="2025-01-18"/>
    <x v="2"/>
    <x v="0"/>
    <x v="2"/>
    <x v="369"/>
    <n v="951.61"/>
    <n v="18"/>
    <n v="3759.94"/>
    <x v="8"/>
    <n v="0.79802612728295352"/>
  </r>
  <r>
    <s v="ORD00371"/>
    <s v="2025-08-22"/>
    <x v="2"/>
    <x v="0"/>
    <x v="0"/>
    <x v="370"/>
    <n v="6882.47"/>
    <n v="16"/>
    <n v="27255.379999999997"/>
    <x v="0"/>
    <n v="0.79839181436440776"/>
  </r>
  <r>
    <s v="ORD00372"/>
    <s v="2025-03-16"/>
    <x v="1"/>
    <x v="0"/>
    <x v="2"/>
    <x v="371"/>
    <n v="3836.55"/>
    <n v="3"/>
    <n v="31571.23"/>
    <x v="9"/>
    <n v="0.89164669459649826"/>
  </r>
  <r>
    <s v="ORD00373"/>
    <s v="2025-09-28"/>
    <x v="2"/>
    <x v="5"/>
    <x v="2"/>
    <x v="372"/>
    <n v="1066.7"/>
    <n v="10"/>
    <n v="5902.37"/>
    <x v="3"/>
    <n v="0.84693797020262385"/>
  </r>
  <r>
    <s v="ORD00374"/>
    <s v="2025-02-06"/>
    <x v="3"/>
    <x v="0"/>
    <x v="1"/>
    <x v="373"/>
    <n v="6427.94"/>
    <n v="14"/>
    <n v="32486.350000000002"/>
    <x v="10"/>
    <n v="0.83481800644441928"/>
  </r>
  <r>
    <s v="ORD00375"/>
    <s v="2025-06-29"/>
    <x v="2"/>
    <x v="0"/>
    <x v="2"/>
    <x v="374"/>
    <n v="8260.2999999999993"/>
    <n v="10"/>
    <n v="27923.55"/>
    <x v="4"/>
    <n v="0.77171307088659724"/>
  </r>
  <r>
    <s v="ORD00376"/>
    <s v="2025-03-25"/>
    <x v="3"/>
    <x v="5"/>
    <x v="2"/>
    <x v="375"/>
    <n v="4276.2299999999996"/>
    <n v="12"/>
    <n v="10811.66"/>
    <x v="9"/>
    <n v="0.71657866010422933"/>
  </r>
  <r>
    <s v="ORD00377"/>
    <s v="2025-09-19"/>
    <x v="0"/>
    <x v="4"/>
    <x v="0"/>
    <x v="376"/>
    <n v="7389.62"/>
    <n v="5"/>
    <n v="19514.400000000001"/>
    <x v="3"/>
    <n v="0.72533398354595335"/>
  </r>
  <r>
    <s v="ORD00378"/>
    <s v="2025-02-14"/>
    <x v="1"/>
    <x v="2"/>
    <x v="1"/>
    <x v="377"/>
    <n v="8825.1"/>
    <n v="6"/>
    <n v="30999.68"/>
    <x v="10"/>
    <n v="0.77840178903687607"/>
  </r>
  <r>
    <s v="ORD00379"/>
    <s v="2025-02-06"/>
    <x v="0"/>
    <x v="4"/>
    <x v="0"/>
    <x v="378"/>
    <n v="2277.5500000000002"/>
    <n v="17"/>
    <n v="21222.799999999999"/>
    <x v="10"/>
    <n v="0.90308442214690421"/>
  </r>
  <r>
    <s v="ORD00380"/>
    <s v="2025-08-04"/>
    <x v="0"/>
    <x v="1"/>
    <x v="1"/>
    <x v="379"/>
    <n v="7050.56"/>
    <n v="20"/>
    <n v="18336.3"/>
    <x v="0"/>
    <n v="0.72227522426956303"/>
  </r>
  <r>
    <s v="ORD00381"/>
    <s v="2025-05-26"/>
    <x v="3"/>
    <x v="0"/>
    <x v="2"/>
    <x v="380"/>
    <n v="4237.34"/>
    <n v="16"/>
    <n v="25072.41"/>
    <x v="7"/>
    <n v="0.85542899547079043"/>
  </r>
  <r>
    <s v="ORD00382"/>
    <s v="2025-05-26"/>
    <x v="1"/>
    <x v="2"/>
    <x v="0"/>
    <x v="381"/>
    <n v="3963.26"/>
    <n v="7"/>
    <n v="11226.69"/>
    <x v="7"/>
    <n v="0.73908669877122701"/>
  </r>
  <r>
    <s v="ORD00383"/>
    <s v="2025-10-21"/>
    <x v="2"/>
    <x v="2"/>
    <x v="1"/>
    <x v="382"/>
    <n v="1580.8"/>
    <n v="2"/>
    <n v="19344.010000000002"/>
    <x v="5"/>
    <n v="0.92445331642198902"/>
  </r>
  <r>
    <s v="ORD00384"/>
    <s v="2025-09-20"/>
    <x v="2"/>
    <x v="1"/>
    <x v="2"/>
    <x v="383"/>
    <n v="5246.85"/>
    <n v="6"/>
    <n v="37144.35"/>
    <x v="3"/>
    <n v="0.87622784917624419"/>
  </r>
  <r>
    <s v="ORD00385"/>
    <s v="2025-10-10"/>
    <x v="1"/>
    <x v="1"/>
    <x v="0"/>
    <x v="384"/>
    <n v="6463.05"/>
    <n v="18"/>
    <n v="34677.409999999996"/>
    <x v="5"/>
    <n v="0.84290282607438027"/>
  </r>
  <r>
    <s v="ORD00386"/>
    <s v="2025-08-21"/>
    <x v="2"/>
    <x v="3"/>
    <x v="1"/>
    <x v="385"/>
    <n v="2282.5700000000002"/>
    <n v="3"/>
    <n v="20649.36"/>
    <x v="0"/>
    <n v="0.90046324055585381"/>
  </r>
  <r>
    <s v="ORD00387"/>
    <s v="2025-06-17"/>
    <x v="2"/>
    <x v="3"/>
    <x v="0"/>
    <x v="386"/>
    <n v="12311.82"/>
    <n v="3"/>
    <n v="30026.67"/>
    <x v="4"/>
    <n v="0.70920502833237553"/>
  </r>
  <r>
    <s v="ORD00388"/>
    <s v="2025-07-14"/>
    <x v="0"/>
    <x v="5"/>
    <x v="1"/>
    <x v="387"/>
    <n v="2560.58"/>
    <n v="3"/>
    <n v="21662.879999999997"/>
    <x v="2"/>
    <n v="0.89429338335646513"/>
  </r>
  <r>
    <s v="ORD00389"/>
    <s v="2025-04-29"/>
    <x v="3"/>
    <x v="0"/>
    <x v="1"/>
    <x v="388"/>
    <n v="3346.08"/>
    <n v="14"/>
    <n v="9348"/>
    <x v="1"/>
    <n v="0.73640626181653179"/>
  </r>
  <r>
    <s v="ORD00390"/>
    <s v="2025-03-15"/>
    <x v="1"/>
    <x v="5"/>
    <x v="0"/>
    <x v="389"/>
    <n v="2080.46"/>
    <n v="1"/>
    <n v="17693.240000000002"/>
    <x v="9"/>
    <n v="0.89478650935333304"/>
  </r>
  <r>
    <s v="ORD00391"/>
    <s v="2025-11-29"/>
    <x v="2"/>
    <x v="3"/>
    <x v="0"/>
    <x v="390"/>
    <n v="5363.27"/>
    <n v="10"/>
    <n v="15710.82"/>
    <x v="6"/>
    <n v="0.74550407633259608"/>
  </r>
  <r>
    <s v="ORD00392"/>
    <s v="2025-07-10"/>
    <x v="0"/>
    <x v="1"/>
    <x v="0"/>
    <x v="391"/>
    <n v="2856.05"/>
    <n v="10"/>
    <n v="42589.229999999996"/>
    <x v="2"/>
    <n v="0.93715408948960155"/>
  </r>
  <r>
    <s v="ORD00393"/>
    <s v="2025-12-11"/>
    <x v="0"/>
    <x v="5"/>
    <x v="2"/>
    <x v="392"/>
    <n v="8773.6"/>
    <n v="19"/>
    <n v="20490.919999999998"/>
    <x v="11"/>
    <n v="0.70019668868650498"/>
  </r>
  <r>
    <s v="ORD00394"/>
    <s v="2025-11-09"/>
    <x v="2"/>
    <x v="2"/>
    <x v="2"/>
    <x v="393"/>
    <n v="9415.01"/>
    <n v="9"/>
    <n v="22512.489999999998"/>
    <x v="6"/>
    <n v="0.70511283376399647"/>
  </r>
  <r>
    <s v="ORD00395"/>
    <s v="2025-01-15"/>
    <x v="3"/>
    <x v="2"/>
    <x v="2"/>
    <x v="394"/>
    <n v="4363.49"/>
    <n v="1"/>
    <n v="11723.16"/>
    <x v="8"/>
    <n v="0.72875085863122524"/>
  </r>
  <r>
    <s v="ORD00396"/>
    <s v="2025-11-15"/>
    <x v="0"/>
    <x v="1"/>
    <x v="1"/>
    <x v="395"/>
    <n v="2162.44"/>
    <n v="11"/>
    <n v="5838.23"/>
    <x v="6"/>
    <n v="0.72971763614797258"/>
  </r>
  <r>
    <s v="ORD00397"/>
    <s v="2025-11-21"/>
    <x v="1"/>
    <x v="1"/>
    <x v="0"/>
    <x v="396"/>
    <n v="4342.8999999999996"/>
    <n v="17"/>
    <n v="11032.94"/>
    <x v="6"/>
    <n v="0.71755039074287974"/>
  </r>
  <r>
    <s v="ORD00398"/>
    <s v="2025-05-05"/>
    <x v="3"/>
    <x v="0"/>
    <x v="0"/>
    <x v="397"/>
    <n v="10281.719999999999"/>
    <n v="20"/>
    <n v="37254.799999999996"/>
    <x v="7"/>
    <n v="0.78370903044648621"/>
  </r>
  <r>
    <s v="ORD00399"/>
    <s v="2025-10-25"/>
    <x v="3"/>
    <x v="4"/>
    <x v="1"/>
    <x v="398"/>
    <n v="2862.36"/>
    <n v="9"/>
    <n v="18123.309999999998"/>
    <x v="5"/>
    <n v="0.86360406887175867"/>
  </r>
  <r>
    <s v="ORD00400"/>
    <s v="2025-10-11"/>
    <x v="1"/>
    <x v="3"/>
    <x v="0"/>
    <x v="399"/>
    <n v="8367.69"/>
    <n v="1"/>
    <n v="20999.33"/>
    <x v="5"/>
    <n v="0.71506506278131055"/>
  </r>
  <r>
    <s v="ORD00401"/>
    <s v="2025-04-22"/>
    <x v="3"/>
    <x v="0"/>
    <x v="1"/>
    <x v="400"/>
    <n v="1564.56"/>
    <n v="5"/>
    <n v="10847.390000000001"/>
    <x v="1"/>
    <n v="0.87394728467323834"/>
  </r>
  <r>
    <s v="ORD00402"/>
    <s v="2025-03-17"/>
    <x v="1"/>
    <x v="4"/>
    <x v="0"/>
    <x v="401"/>
    <n v="1475.16"/>
    <n v="16"/>
    <n v="12085.25"/>
    <x v="9"/>
    <n v="0.8912156785819898"/>
  </r>
  <r>
    <s v="ORD00403"/>
    <s v="2025-03-26"/>
    <x v="2"/>
    <x v="3"/>
    <x v="0"/>
    <x v="402"/>
    <n v="580.32000000000005"/>
    <n v="10"/>
    <n v="7930.630000000001"/>
    <x v="9"/>
    <n v="0.93181489727938716"/>
  </r>
  <r>
    <s v="ORD00404"/>
    <s v="2025-10-23"/>
    <x v="2"/>
    <x v="1"/>
    <x v="0"/>
    <x v="403"/>
    <n v="1047.4100000000001"/>
    <n v="6"/>
    <n v="11392.16"/>
    <x v="5"/>
    <n v="0.91580014421720368"/>
  </r>
  <r>
    <s v="ORD00405"/>
    <s v="2025-01-08"/>
    <x v="0"/>
    <x v="1"/>
    <x v="2"/>
    <x v="404"/>
    <n v="3824.25"/>
    <n v="2"/>
    <n v="44873.13"/>
    <x v="8"/>
    <n v="0.92146908108814063"/>
  </r>
  <r>
    <s v="ORD00406"/>
    <s v="2025-05-22"/>
    <x v="3"/>
    <x v="0"/>
    <x v="2"/>
    <x v="405"/>
    <n v="12950.98"/>
    <n v="12"/>
    <n v="30238.880000000001"/>
    <x v="7"/>
    <n v="0.70013841211802952"/>
  </r>
  <r>
    <s v="ORD00407"/>
    <s v="2025-10-14"/>
    <x v="0"/>
    <x v="3"/>
    <x v="1"/>
    <x v="406"/>
    <n v="4627.38"/>
    <n v="13"/>
    <n v="40867.51"/>
    <x v="5"/>
    <n v="0.89828791761008775"/>
  </r>
  <r>
    <s v="ORD00408"/>
    <s v="2025-07-22"/>
    <x v="2"/>
    <x v="4"/>
    <x v="0"/>
    <x v="407"/>
    <n v="3690.25"/>
    <n v="5"/>
    <n v="17713.48"/>
    <x v="2"/>
    <n v="0.82758846238482731"/>
  </r>
  <r>
    <s v="ORD00409"/>
    <s v="2025-09-28"/>
    <x v="3"/>
    <x v="2"/>
    <x v="2"/>
    <x v="408"/>
    <n v="271.23"/>
    <n v="6"/>
    <n v="5024.3999999999996"/>
    <x v="3"/>
    <n v="0.94878229785691215"/>
  </r>
  <r>
    <s v="ORD00410"/>
    <s v="2025-01-22"/>
    <x v="2"/>
    <x v="5"/>
    <x v="1"/>
    <x v="409"/>
    <n v="373.06"/>
    <n v="8"/>
    <n v="1262.43"/>
    <x v="8"/>
    <n v="0.77189710728894712"/>
  </r>
  <r>
    <s v="ORD00411"/>
    <s v="2025-03-03"/>
    <x v="1"/>
    <x v="2"/>
    <x v="0"/>
    <x v="410"/>
    <n v="1448.75"/>
    <n v="9"/>
    <n v="23325.31"/>
    <x v="9"/>
    <n v="0.94152149466014046"/>
  </r>
  <r>
    <s v="ORD00412"/>
    <s v="2025-10-31"/>
    <x v="2"/>
    <x v="0"/>
    <x v="2"/>
    <x v="411"/>
    <n v="6288.12"/>
    <n v="5"/>
    <n v="23589.11"/>
    <x v="5"/>
    <n v="0.78953470586128638"/>
  </r>
  <r>
    <s v="ORD00413"/>
    <s v="2025-07-10"/>
    <x v="0"/>
    <x v="5"/>
    <x v="1"/>
    <x v="412"/>
    <n v="1386"/>
    <n v="2"/>
    <n v="8312.23"/>
    <x v="2"/>
    <n v="0.8570873241818352"/>
  </r>
  <r>
    <s v="ORD00414"/>
    <s v="2025-11-12"/>
    <x v="2"/>
    <x v="4"/>
    <x v="1"/>
    <x v="413"/>
    <n v="982.35"/>
    <n v="10"/>
    <n v="8162.7999999999993"/>
    <x v="6"/>
    <n v="0.89258240706822733"/>
  </r>
  <r>
    <s v="ORD00415"/>
    <s v="2025-05-15"/>
    <x v="0"/>
    <x v="3"/>
    <x v="1"/>
    <x v="414"/>
    <n v="5658.74"/>
    <n v="1"/>
    <n v="30896.730000000003"/>
    <x v="7"/>
    <n v="0.84520127904250719"/>
  </r>
  <r>
    <s v="ORD00416"/>
    <s v="2025-02-22"/>
    <x v="2"/>
    <x v="4"/>
    <x v="1"/>
    <x v="415"/>
    <n v="7884.3"/>
    <n v="4"/>
    <n v="18854.64"/>
    <x v="10"/>
    <n v="0.70513790000650733"/>
  </r>
  <r>
    <s v="ORD00417"/>
    <s v="2025-12-27"/>
    <x v="1"/>
    <x v="2"/>
    <x v="1"/>
    <x v="416"/>
    <n v="308.31"/>
    <n v="3"/>
    <n v="3281.64"/>
    <x v="11"/>
    <n v="0.91411858103873311"/>
  </r>
  <r>
    <s v="ORD00418"/>
    <s v="2025-06-08"/>
    <x v="3"/>
    <x v="1"/>
    <x v="0"/>
    <x v="417"/>
    <n v="8453.24"/>
    <n v="12"/>
    <n v="20112.29"/>
    <x v="4"/>
    <n v="0.70407550638829397"/>
  </r>
  <r>
    <s v="ORD00419"/>
    <s v="2025-10-10"/>
    <x v="1"/>
    <x v="1"/>
    <x v="0"/>
    <x v="418"/>
    <n v="2738.04"/>
    <n v="5"/>
    <n v="17770.649999999998"/>
    <x v="5"/>
    <n v="0.86649366683098716"/>
  </r>
  <r>
    <s v="ORD00420"/>
    <s v="2025-08-15"/>
    <x v="0"/>
    <x v="0"/>
    <x v="1"/>
    <x v="419"/>
    <n v="386.68"/>
    <n v="7"/>
    <n v="4333.09"/>
    <x v="0"/>
    <n v="0.91807227894579602"/>
  </r>
  <r>
    <s v="ORD00421"/>
    <s v="2025-09-22"/>
    <x v="0"/>
    <x v="1"/>
    <x v="1"/>
    <x v="420"/>
    <n v="7883.39"/>
    <n v="4"/>
    <n v="26532.770000000004"/>
    <x v="3"/>
    <n v="0.77093929130966388"/>
  </r>
  <r>
    <s v="ORD00422"/>
    <s v="2025-10-07"/>
    <x v="1"/>
    <x v="4"/>
    <x v="0"/>
    <x v="421"/>
    <n v="4425.24"/>
    <n v="19"/>
    <n v="10747.79"/>
    <x v="5"/>
    <n v="0.7083482995815602"/>
  </r>
  <r>
    <s v="ORD00423"/>
    <s v="2025-05-05"/>
    <x v="3"/>
    <x v="3"/>
    <x v="1"/>
    <x v="422"/>
    <n v="449.86"/>
    <n v="14"/>
    <n v="1472.6599999999999"/>
    <x v="7"/>
    <n v="0.76600503505815276"/>
  </r>
  <r>
    <s v="ORD00424"/>
    <s v="2025-11-13"/>
    <x v="3"/>
    <x v="0"/>
    <x v="2"/>
    <x v="423"/>
    <n v="3449.86"/>
    <n v="20"/>
    <n v="8121.25"/>
    <x v="6"/>
    <n v="0.70185574244821802"/>
  </r>
  <r>
    <s v="ORD00425"/>
    <s v="2025-09-23"/>
    <x v="0"/>
    <x v="3"/>
    <x v="2"/>
    <x v="424"/>
    <n v="11156.41"/>
    <n v="2"/>
    <n v="35478.649999999994"/>
    <x v="3"/>
    <n v="0.76077204575270185"/>
  </r>
  <r>
    <s v="ORD00426"/>
    <s v="2025-05-31"/>
    <x v="0"/>
    <x v="0"/>
    <x v="2"/>
    <x v="425"/>
    <n v="6277.67"/>
    <n v="9"/>
    <n v="43094.03"/>
    <x v="7"/>
    <n v="0.87284881825013116"/>
  </r>
  <r>
    <s v="ORD00427"/>
    <s v="2025-04-25"/>
    <x v="0"/>
    <x v="2"/>
    <x v="1"/>
    <x v="426"/>
    <n v="7858.34"/>
    <n v="1"/>
    <n v="27619.3"/>
    <x v="1"/>
    <n v="0.77849879529754518"/>
  </r>
  <r>
    <s v="ORD00428"/>
    <s v="2025-09-22"/>
    <x v="2"/>
    <x v="4"/>
    <x v="1"/>
    <x v="427"/>
    <n v="8454.7199999999993"/>
    <n v="1"/>
    <n v="21153.64"/>
    <x v="3"/>
    <n v="0.71444821665232383"/>
  </r>
  <r>
    <s v="ORD00429"/>
    <s v="2025-09-06"/>
    <x v="0"/>
    <x v="5"/>
    <x v="0"/>
    <x v="428"/>
    <n v="4656.55"/>
    <n v="5"/>
    <n v="14480.190000000002"/>
    <x v="3"/>
    <n v="0.7566696312956126"/>
  </r>
  <r>
    <s v="ORD00430"/>
    <s v="2025-01-12"/>
    <x v="1"/>
    <x v="4"/>
    <x v="1"/>
    <x v="429"/>
    <n v="6394.32"/>
    <n v="1"/>
    <n v="29982.730000000003"/>
    <x v="8"/>
    <n v="0.82422104046369893"/>
  </r>
  <r>
    <s v="ORD00431"/>
    <s v="2025-05-23"/>
    <x v="2"/>
    <x v="2"/>
    <x v="0"/>
    <x v="430"/>
    <n v="2718.37"/>
    <n v="10"/>
    <n v="18022.63"/>
    <x v="7"/>
    <n v="0.86893737042572683"/>
  </r>
  <r>
    <s v="ORD00432"/>
    <s v="2025-12-10"/>
    <x v="3"/>
    <x v="1"/>
    <x v="0"/>
    <x v="431"/>
    <n v="4363.79"/>
    <n v="1"/>
    <n v="13255.96"/>
    <x v="11"/>
    <n v="0.75233530555200834"/>
  </r>
  <r>
    <s v="ORD00433"/>
    <s v="2025-03-09"/>
    <x v="2"/>
    <x v="2"/>
    <x v="2"/>
    <x v="432"/>
    <n v="2218.8200000000002"/>
    <n v="2"/>
    <n v="13174.800000000001"/>
    <x v="9"/>
    <n v="0.85586106451893706"/>
  </r>
  <r>
    <s v="ORD00434"/>
    <s v="2025-03-23"/>
    <x v="0"/>
    <x v="1"/>
    <x v="1"/>
    <x v="433"/>
    <n v="1149.48"/>
    <n v="9"/>
    <n v="3969.2400000000002"/>
    <x v="9"/>
    <n v="0.7754360465116279"/>
  </r>
  <r>
    <s v="ORD00435"/>
    <s v="2025-02-08"/>
    <x v="1"/>
    <x v="5"/>
    <x v="2"/>
    <x v="434"/>
    <n v="3104.6"/>
    <n v="7"/>
    <n v="42408.340000000004"/>
    <x v="10"/>
    <n v="0.93178643260576011"/>
  </r>
  <r>
    <s v="ORD00436"/>
    <s v="2025-12-03"/>
    <x v="2"/>
    <x v="5"/>
    <x v="0"/>
    <x v="435"/>
    <n v="5041.0600000000004"/>
    <n v="6"/>
    <n v="21626.48"/>
    <x v="11"/>
    <n v="0.81096644084906211"/>
  </r>
  <r>
    <s v="ORD00437"/>
    <s v="2025-09-17"/>
    <x v="0"/>
    <x v="3"/>
    <x v="2"/>
    <x v="436"/>
    <n v="501.46"/>
    <n v="12"/>
    <n v="6073.39"/>
    <x v="3"/>
    <n v="0.92373057940485337"/>
  </r>
  <r>
    <s v="ORD00438"/>
    <s v="2025-06-05"/>
    <x v="0"/>
    <x v="2"/>
    <x v="2"/>
    <x v="437"/>
    <n v="2687.32"/>
    <n v="19"/>
    <n v="17185.3"/>
    <x v="4"/>
    <n v="0.86477273756555506"/>
  </r>
  <r>
    <s v="ORD00439"/>
    <s v="2025-09-13"/>
    <x v="3"/>
    <x v="3"/>
    <x v="2"/>
    <x v="438"/>
    <n v="2339.63"/>
    <n v="10"/>
    <n v="8318.98"/>
    <x v="3"/>
    <n v="0.7804938917926445"/>
  </r>
  <r>
    <s v="ORD00440"/>
    <s v="2025-06-21"/>
    <x v="1"/>
    <x v="2"/>
    <x v="0"/>
    <x v="439"/>
    <n v="2996.03"/>
    <n v="12"/>
    <n v="20131.690000000002"/>
    <x v="4"/>
    <n v="0.87045718298215302"/>
  </r>
  <r>
    <s v="ORD00441"/>
    <s v="2025-02-21"/>
    <x v="0"/>
    <x v="1"/>
    <x v="2"/>
    <x v="440"/>
    <n v="6535.55"/>
    <n v="18"/>
    <n v="34693.649999999994"/>
    <x v="10"/>
    <n v="0.84148249299040478"/>
  </r>
  <r>
    <s v="ORD00442"/>
    <s v="2025-01-07"/>
    <x v="3"/>
    <x v="2"/>
    <x v="2"/>
    <x v="441"/>
    <n v="1467.98"/>
    <n v="1"/>
    <n v="6920.130000000001"/>
    <x v="8"/>
    <n v="0.82499275760570623"/>
  </r>
  <r>
    <s v="ORD00443"/>
    <s v="2025-09-24"/>
    <x v="0"/>
    <x v="0"/>
    <x v="1"/>
    <x v="442"/>
    <n v="3073.48"/>
    <n v="12"/>
    <n v="18978.54"/>
    <x v="3"/>
    <n v="0.86062591998374749"/>
  </r>
  <r>
    <s v="ORD00444"/>
    <s v="2025-10-21"/>
    <x v="1"/>
    <x v="1"/>
    <x v="2"/>
    <x v="443"/>
    <n v="259.56"/>
    <n v="9"/>
    <n v="740.77"/>
    <x v="5"/>
    <n v="0.74052562654324072"/>
  </r>
  <r>
    <s v="ORD00445"/>
    <s v="2025-08-02"/>
    <x v="1"/>
    <x v="3"/>
    <x v="0"/>
    <x v="444"/>
    <n v="926.14"/>
    <n v="4"/>
    <n v="11235.37"/>
    <x v="0"/>
    <n v="0.92384662759805325"/>
  </r>
  <r>
    <s v="ORD00446"/>
    <s v="2025-05-15"/>
    <x v="3"/>
    <x v="4"/>
    <x v="0"/>
    <x v="445"/>
    <n v="7049.97"/>
    <n v="9"/>
    <n v="18002.57"/>
    <x v="7"/>
    <n v="0.71859260577969331"/>
  </r>
  <r>
    <s v="ORD00447"/>
    <s v="2025-08-02"/>
    <x v="3"/>
    <x v="4"/>
    <x v="0"/>
    <x v="446"/>
    <n v="4262.9399999999996"/>
    <n v="10"/>
    <n v="22573.09"/>
    <x v="0"/>
    <n v="0.84114863487632119"/>
  </r>
  <r>
    <s v="ORD00448"/>
    <s v="2025-01-26"/>
    <x v="2"/>
    <x v="4"/>
    <x v="2"/>
    <x v="447"/>
    <n v="657.6"/>
    <n v="9"/>
    <n v="7583.23"/>
    <x v="8"/>
    <n v="0.92020221264120239"/>
  </r>
  <r>
    <s v="ORD00449"/>
    <s v="2025-08-01"/>
    <x v="3"/>
    <x v="3"/>
    <x v="1"/>
    <x v="448"/>
    <n v="3080.3"/>
    <n v="19"/>
    <n v="32158.31"/>
    <x v="0"/>
    <n v="0.91258735801440527"/>
  </r>
  <r>
    <s v="ORD00450"/>
    <s v="2025-10-12"/>
    <x v="3"/>
    <x v="1"/>
    <x v="2"/>
    <x v="449"/>
    <n v="1538.81"/>
    <n v="5"/>
    <n v="12958.560000000001"/>
    <x v="5"/>
    <n v="0.8938559200737789"/>
  </r>
  <r>
    <s v="ORD00451"/>
    <s v="2025-09-20"/>
    <x v="1"/>
    <x v="4"/>
    <x v="2"/>
    <x v="450"/>
    <n v="762.77"/>
    <n v="9"/>
    <n v="3405.19"/>
    <x v="3"/>
    <n v="0.81699200568143648"/>
  </r>
  <r>
    <s v="ORD00452"/>
    <s v="2025-01-28"/>
    <x v="3"/>
    <x v="3"/>
    <x v="2"/>
    <x v="451"/>
    <n v="6103.81"/>
    <n v="6"/>
    <n v="23082.16"/>
    <x v="8"/>
    <n v="0.79086492585307255"/>
  </r>
  <r>
    <s v="ORD00453"/>
    <s v="2025-07-18"/>
    <x v="0"/>
    <x v="3"/>
    <x v="2"/>
    <x v="452"/>
    <n v="269.88"/>
    <n v="12"/>
    <n v="721.67"/>
    <x v="2"/>
    <n v="0.72782007967323881"/>
  </r>
  <r>
    <s v="ORD00454"/>
    <s v="2025-02-07"/>
    <x v="3"/>
    <x v="5"/>
    <x v="1"/>
    <x v="453"/>
    <n v="5612.94"/>
    <n v="12"/>
    <n v="23774.600000000002"/>
    <x v="10"/>
    <n v="0.80900272700607134"/>
  </r>
  <r>
    <s v="ORD00455"/>
    <s v="2025-12-02"/>
    <x v="2"/>
    <x v="5"/>
    <x v="0"/>
    <x v="454"/>
    <n v="3575.28"/>
    <n v="2"/>
    <n v="29016.32"/>
    <x v="11"/>
    <n v="0.89030056824457837"/>
  </r>
  <r>
    <s v="ORD00456"/>
    <s v="2025-02-11"/>
    <x v="0"/>
    <x v="4"/>
    <x v="1"/>
    <x v="455"/>
    <n v="11677.2"/>
    <n v="2"/>
    <n v="33198.559999999998"/>
    <x v="10"/>
    <n v="0.73978825093992828"/>
  </r>
  <r>
    <s v="ORD00457"/>
    <s v="2025-03-17"/>
    <x v="3"/>
    <x v="2"/>
    <x v="0"/>
    <x v="456"/>
    <n v="3955.54"/>
    <n v="10"/>
    <n v="9349.5600000000013"/>
    <x v="9"/>
    <n v="0.70270497779047136"/>
  </r>
  <r>
    <s v="ORD00458"/>
    <s v="2025-10-03"/>
    <x v="1"/>
    <x v="3"/>
    <x v="2"/>
    <x v="457"/>
    <n v="4826.34"/>
    <n v="3"/>
    <n v="20120.38"/>
    <x v="5"/>
    <n v="0.80653408544289595"/>
  </r>
  <r>
    <s v="ORD00459"/>
    <s v="2025-06-30"/>
    <x v="2"/>
    <x v="3"/>
    <x v="0"/>
    <x v="458"/>
    <n v="3312.86"/>
    <n v="17"/>
    <n v="20180.63"/>
    <x v="4"/>
    <n v="0.85898817076560352"/>
  </r>
  <r>
    <s v="ORD00460"/>
    <s v="2025-11-24"/>
    <x v="0"/>
    <x v="3"/>
    <x v="1"/>
    <x v="459"/>
    <n v="4082.99"/>
    <n v="14"/>
    <n v="35242.32"/>
    <x v="6"/>
    <n v="0.89617399074540038"/>
  </r>
  <r>
    <s v="ORD00461"/>
    <s v="2025-04-02"/>
    <x v="2"/>
    <x v="3"/>
    <x v="0"/>
    <x v="460"/>
    <n v="4905.12"/>
    <n v="17"/>
    <n v="21799.66"/>
    <x v="1"/>
    <n v="0.81632052389122844"/>
  </r>
  <r>
    <s v="ORD00462"/>
    <s v="2025-05-11"/>
    <x v="2"/>
    <x v="3"/>
    <x v="0"/>
    <x v="461"/>
    <n v="930.59"/>
    <n v="10"/>
    <n v="5929.33"/>
    <x v="7"/>
    <n v="0.86434389905421638"/>
  </r>
  <r>
    <s v="ORD00463"/>
    <s v="2025-05-31"/>
    <x v="0"/>
    <x v="3"/>
    <x v="1"/>
    <x v="462"/>
    <n v="997.65"/>
    <n v="16"/>
    <n v="3694.0799999999995"/>
    <x v="7"/>
    <n v="0.78735988643847787"/>
  </r>
  <r>
    <s v="ORD00464"/>
    <s v="2025-01-20"/>
    <x v="3"/>
    <x v="1"/>
    <x v="1"/>
    <x v="463"/>
    <n v="1001.34"/>
    <n v="16"/>
    <n v="5226.18"/>
    <x v="8"/>
    <n v="0.83920726067519658"/>
  </r>
  <r>
    <s v="ORD00465"/>
    <s v="2025-07-09"/>
    <x v="3"/>
    <x v="1"/>
    <x v="0"/>
    <x v="464"/>
    <n v="4353.3900000000003"/>
    <n v="1"/>
    <n v="11363.93"/>
    <x v="2"/>
    <n v="0.72301957331148059"/>
  </r>
  <r>
    <s v="ORD00466"/>
    <s v="2025-11-18"/>
    <x v="2"/>
    <x v="1"/>
    <x v="1"/>
    <x v="465"/>
    <n v="3325.79"/>
    <n v="4"/>
    <n v="11201.52"/>
    <x v="6"/>
    <n v="0.7710663570888211"/>
  </r>
  <r>
    <s v="ORD00467"/>
    <s v="2025-02-20"/>
    <x v="0"/>
    <x v="5"/>
    <x v="2"/>
    <x v="466"/>
    <n v="1069.31"/>
    <n v="9"/>
    <n v="5171.4600000000009"/>
    <x v="10"/>
    <n v="0.82865736119100697"/>
  </r>
  <r>
    <s v="ORD00468"/>
    <s v="2025-06-24"/>
    <x v="1"/>
    <x v="0"/>
    <x v="1"/>
    <x v="467"/>
    <n v="4188.1499999999996"/>
    <n v="16"/>
    <n v="11786.54"/>
    <x v="4"/>
    <n v="0.73782589834294132"/>
  </r>
  <r>
    <s v="ORD00469"/>
    <s v="2025-10-12"/>
    <x v="1"/>
    <x v="5"/>
    <x v="0"/>
    <x v="468"/>
    <n v="1457.38"/>
    <n v="9"/>
    <n v="17429.43"/>
    <x v="5"/>
    <n v="0.92283609566676417"/>
  </r>
  <r>
    <s v="ORD00470"/>
    <s v="2025-10-11"/>
    <x v="3"/>
    <x v="5"/>
    <x v="0"/>
    <x v="469"/>
    <n v="2385.1"/>
    <n v="7"/>
    <n v="13499.609999999999"/>
    <x v="5"/>
    <n v="0.84984932051010054"/>
  </r>
  <r>
    <s v="ORD00471"/>
    <s v="2025-05-21"/>
    <x v="0"/>
    <x v="3"/>
    <x v="1"/>
    <x v="470"/>
    <n v="365.49"/>
    <n v="8"/>
    <n v="2068.25"/>
    <x v="7"/>
    <n v="0.84982372808927831"/>
  </r>
  <r>
    <s v="ORD00472"/>
    <s v="2025-05-03"/>
    <x v="3"/>
    <x v="1"/>
    <x v="2"/>
    <x v="471"/>
    <n v="362.13"/>
    <n v="6"/>
    <n v="2438.6799999999998"/>
    <x v="7"/>
    <n v="0.87070526026399497"/>
  </r>
  <r>
    <s v="ORD00473"/>
    <s v="2025-03-27"/>
    <x v="1"/>
    <x v="5"/>
    <x v="2"/>
    <x v="472"/>
    <n v="7003.77"/>
    <n v="9"/>
    <n v="27361.030000000002"/>
    <x v="9"/>
    <n v="0.79619348868609741"/>
  </r>
  <r>
    <s v="ORD00474"/>
    <s v="2025-07-24"/>
    <x v="2"/>
    <x v="3"/>
    <x v="2"/>
    <x v="473"/>
    <n v="4294.8999999999996"/>
    <n v="11"/>
    <n v="13904.13"/>
    <x v="2"/>
    <n v="0.76400390570266663"/>
  </r>
  <r>
    <s v="ORD00475"/>
    <s v="2025-10-07"/>
    <x v="1"/>
    <x v="5"/>
    <x v="1"/>
    <x v="474"/>
    <n v="2054.11"/>
    <n v="3"/>
    <n v="16864.57"/>
    <x v="5"/>
    <n v="0.89142424312901325"/>
  </r>
  <r>
    <s v="ORD00476"/>
    <s v="2025-07-20"/>
    <x v="0"/>
    <x v="3"/>
    <x v="0"/>
    <x v="475"/>
    <n v="10964.74"/>
    <n v="6"/>
    <n v="29522.78"/>
    <x v="2"/>
    <n v="0.72918222701711544"/>
  </r>
  <r>
    <s v="ORD00477"/>
    <s v="2025-09-12"/>
    <x v="3"/>
    <x v="1"/>
    <x v="2"/>
    <x v="476"/>
    <n v="10558.49"/>
    <n v="11"/>
    <n v="31856.58"/>
    <x v="3"/>
    <n v="0.75106748615527452"/>
  </r>
  <r>
    <s v="ORD00478"/>
    <s v="2025-05-08"/>
    <x v="3"/>
    <x v="1"/>
    <x v="1"/>
    <x v="477"/>
    <n v="4575.42"/>
    <n v="19"/>
    <n v="13797.359999999999"/>
    <x v="7"/>
    <n v="0.75096746382420076"/>
  </r>
  <r>
    <s v="ORD00479"/>
    <s v="2025-10-24"/>
    <x v="3"/>
    <x v="5"/>
    <x v="1"/>
    <x v="478"/>
    <n v="6943.45"/>
    <n v="9"/>
    <n v="33126.920000000006"/>
    <x v="5"/>
    <n v="0.82671859531119885"/>
  </r>
  <r>
    <s v="ORD00480"/>
    <s v="2025-12-05"/>
    <x v="2"/>
    <x v="1"/>
    <x v="1"/>
    <x v="479"/>
    <n v="7363.13"/>
    <n v="2"/>
    <n v="18269.02"/>
    <x v="11"/>
    <n v="0.71273849442984683"/>
  </r>
  <r>
    <s v="ORD00481"/>
    <s v="2025-02-03"/>
    <x v="0"/>
    <x v="3"/>
    <x v="1"/>
    <x v="480"/>
    <n v="2728.4"/>
    <n v="12"/>
    <n v="8130.58"/>
    <x v="10"/>
    <n v="0.74874251541120806"/>
  </r>
  <r>
    <s v="ORD00482"/>
    <s v="2025-06-08"/>
    <x v="2"/>
    <x v="0"/>
    <x v="0"/>
    <x v="481"/>
    <n v="1534.64"/>
    <n v="9"/>
    <n v="14062.36"/>
    <x v="4"/>
    <n v="0.90160671924087965"/>
  </r>
  <r>
    <s v="ORD00483"/>
    <s v="2025-10-29"/>
    <x v="3"/>
    <x v="0"/>
    <x v="0"/>
    <x v="482"/>
    <n v="863.36"/>
    <n v="8"/>
    <n v="6171"/>
    <x v="5"/>
    <n v="0.87726530913970857"/>
  </r>
  <r>
    <s v="ORD00484"/>
    <s v="2025-06-12"/>
    <x v="1"/>
    <x v="5"/>
    <x v="0"/>
    <x v="483"/>
    <n v="10429.59"/>
    <n v="2"/>
    <n v="35155.33"/>
    <x v="4"/>
    <n v="0.77120525823013408"/>
  </r>
  <r>
    <s v="ORD00485"/>
    <s v="2025-07-12"/>
    <x v="0"/>
    <x v="5"/>
    <x v="0"/>
    <x v="484"/>
    <n v="4396.72"/>
    <n v="10"/>
    <n v="12268.66"/>
    <x v="2"/>
    <n v="0.73617643282061374"/>
  </r>
  <r>
    <s v="ORD00486"/>
    <s v="2025-09-02"/>
    <x v="3"/>
    <x v="5"/>
    <x v="0"/>
    <x v="485"/>
    <n v="605.83000000000004"/>
    <n v="16"/>
    <n v="2219.52"/>
    <x v="3"/>
    <n v="0.7855734687737802"/>
  </r>
  <r>
    <s v="ORD00487"/>
    <s v="2025-08-19"/>
    <x v="0"/>
    <x v="0"/>
    <x v="1"/>
    <x v="486"/>
    <n v="1595.95"/>
    <n v="15"/>
    <n v="3852.2300000000005"/>
    <x v="0"/>
    <n v="0.70706731422236424"/>
  </r>
  <r>
    <s v="ORD00488"/>
    <s v="2025-10-20"/>
    <x v="1"/>
    <x v="5"/>
    <x v="2"/>
    <x v="487"/>
    <n v="2306.5"/>
    <n v="5"/>
    <n v="14859.79"/>
    <x v="5"/>
    <n v="0.86563782855818006"/>
  </r>
  <r>
    <s v="ORD00489"/>
    <s v="2025-01-10"/>
    <x v="3"/>
    <x v="4"/>
    <x v="2"/>
    <x v="488"/>
    <n v="2230.1999999999998"/>
    <n v="1"/>
    <n v="20107.29"/>
    <x v="8"/>
    <n v="0.90015888087694718"/>
  </r>
  <r>
    <s v="ORD00490"/>
    <s v="2025-07-14"/>
    <x v="0"/>
    <x v="4"/>
    <x v="1"/>
    <x v="489"/>
    <n v="7389.33"/>
    <n v="20"/>
    <n v="34359.949999999997"/>
    <x v="2"/>
    <n v="0.82300700754599831"/>
  </r>
  <r>
    <s v="ORD00491"/>
    <s v="2025-12-31"/>
    <x v="1"/>
    <x v="4"/>
    <x v="2"/>
    <x v="490"/>
    <n v="4816.8500000000004"/>
    <n v="20"/>
    <n v="20635.36"/>
    <x v="11"/>
    <n v="0.8107492433859379"/>
  </r>
  <r>
    <s v="ORD00492"/>
    <s v="2025-11-27"/>
    <x v="1"/>
    <x v="5"/>
    <x v="2"/>
    <x v="491"/>
    <n v="3554.97"/>
    <n v="19"/>
    <n v="33939.129999999997"/>
    <x v="6"/>
    <n v="0.90518588257885901"/>
  </r>
  <r>
    <s v="ORD00493"/>
    <s v="2025-03-15"/>
    <x v="2"/>
    <x v="0"/>
    <x v="0"/>
    <x v="492"/>
    <n v="12627.37"/>
    <n v="5"/>
    <n v="34241.919999999998"/>
    <x v="9"/>
    <n v="0.73058328811893669"/>
  </r>
  <r>
    <s v="ORD00494"/>
    <s v="2025-03-19"/>
    <x v="3"/>
    <x v="5"/>
    <x v="2"/>
    <x v="493"/>
    <n v="11172.12"/>
    <n v="4"/>
    <n v="27503.719999999994"/>
    <x v="9"/>
    <n v="0.7111343929440187"/>
  </r>
  <r>
    <s v="ORD00495"/>
    <s v="2025-09-24"/>
    <x v="1"/>
    <x v="2"/>
    <x v="1"/>
    <x v="494"/>
    <n v="2404.65"/>
    <n v="5"/>
    <n v="24044.959999999999"/>
    <x v="3"/>
    <n v="0.90908561600719251"/>
  </r>
  <r>
    <s v="ORD00496"/>
    <s v="2025-04-08"/>
    <x v="0"/>
    <x v="4"/>
    <x v="2"/>
    <x v="495"/>
    <n v="3492.68"/>
    <n v="5"/>
    <n v="18308.43"/>
    <x v="1"/>
    <n v="0.83979347840545737"/>
  </r>
  <r>
    <s v="ORD00497"/>
    <s v="2025-10-14"/>
    <x v="0"/>
    <x v="1"/>
    <x v="0"/>
    <x v="496"/>
    <n v="3811.65"/>
    <n v="10"/>
    <n v="34426.86"/>
    <x v="5"/>
    <n v="0.90031907624015683"/>
  </r>
  <r>
    <s v="ORD00498"/>
    <s v="2025-09-01"/>
    <x v="3"/>
    <x v="2"/>
    <x v="2"/>
    <x v="497"/>
    <n v="1262.53"/>
    <n v="3"/>
    <n v="21180.49"/>
    <x v="3"/>
    <n v="0.94374509312917787"/>
  </r>
  <r>
    <s v="ORD00499"/>
    <s v="2025-02-20"/>
    <x v="0"/>
    <x v="3"/>
    <x v="1"/>
    <x v="498"/>
    <n v="5976.19"/>
    <n v="13"/>
    <n v="32247.070000000003"/>
    <x v="10"/>
    <n v="0.8436504369329042"/>
  </r>
  <r>
    <s v="ORD00500"/>
    <s v="2025-03-18"/>
    <x v="2"/>
    <x v="1"/>
    <x v="2"/>
    <x v="499"/>
    <n v="12008.4"/>
    <n v="5"/>
    <n v="36425.439999999995"/>
    <x v="9"/>
    <n v="0.75206591094160602"/>
  </r>
  <r>
    <s v="ORD00501"/>
    <s v="2025-08-23"/>
    <x v="1"/>
    <x v="3"/>
    <x v="0"/>
    <x v="500"/>
    <n v="508.24"/>
    <n v="8"/>
    <n v="2424.09"/>
    <x v="0"/>
    <n v="0.82667707931917633"/>
  </r>
  <r>
    <s v="ORD00502"/>
    <s v="2025-01-30"/>
    <x v="0"/>
    <x v="1"/>
    <x v="0"/>
    <x v="501"/>
    <n v="5897.91"/>
    <n v="4"/>
    <n v="37893.929999999993"/>
    <x v="8"/>
    <n v="0.86531942937314343"/>
  </r>
  <r>
    <s v="ORD00503"/>
    <s v="2025-12-14"/>
    <x v="0"/>
    <x v="2"/>
    <x v="1"/>
    <x v="502"/>
    <n v="2648.28"/>
    <n v="4"/>
    <n v="18172.91"/>
    <x v="11"/>
    <n v="0.87280842257334956"/>
  </r>
  <r>
    <s v="ORD00504"/>
    <s v="2025-09-28"/>
    <x v="0"/>
    <x v="3"/>
    <x v="2"/>
    <x v="503"/>
    <n v="7855.52"/>
    <n v="18"/>
    <n v="18769.52"/>
    <x v="3"/>
    <n v="0.70495743856159465"/>
  </r>
  <r>
    <s v="ORD00505"/>
    <s v="2025-05-08"/>
    <x v="0"/>
    <x v="1"/>
    <x v="2"/>
    <x v="504"/>
    <n v="1825.32"/>
    <n v="5"/>
    <n v="30970.5"/>
    <x v="7"/>
    <n v="0.94434290711438229"/>
  </r>
  <r>
    <s v="ORD00506"/>
    <s v="2025-04-24"/>
    <x v="1"/>
    <x v="3"/>
    <x v="1"/>
    <x v="505"/>
    <n v="2789.78"/>
    <n v="11"/>
    <n v="11892.89"/>
    <x v="1"/>
    <n v="0.80999504858448768"/>
  </r>
  <r>
    <s v="ORD00507"/>
    <s v="2025-07-20"/>
    <x v="1"/>
    <x v="1"/>
    <x v="2"/>
    <x v="506"/>
    <n v="2111.5300000000002"/>
    <n v="11"/>
    <n v="6386.5399999999991"/>
    <x v="2"/>
    <n v="0.75152828818778838"/>
  </r>
  <r>
    <s v="ORD00508"/>
    <s v="2025-06-13"/>
    <x v="1"/>
    <x v="1"/>
    <x v="1"/>
    <x v="507"/>
    <n v="257.86"/>
    <n v="12"/>
    <n v="1324.42"/>
    <x v="4"/>
    <n v="0.8370326364486691"/>
  </r>
  <r>
    <s v="ORD00509"/>
    <s v="2025-02-27"/>
    <x v="2"/>
    <x v="1"/>
    <x v="0"/>
    <x v="508"/>
    <n v="8669.1299999999992"/>
    <n v="14"/>
    <n v="36830.82"/>
    <x v="10"/>
    <n v="0.80946946095545169"/>
  </r>
  <r>
    <s v="ORD00510"/>
    <s v="2025-10-13"/>
    <x v="3"/>
    <x v="5"/>
    <x v="2"/>
    <x v="509"/>
    <n v="4566.37"/>
    <n v="17"/>
    <n v="21483.040000000001"/>
    <x v="5"/>
    <n v="0.82470351535792941"/>
  </r>
  <r>
    <s v="ORD00511"/>
    <s v="2025-08-14"/>
    <x v="2"/>
    <x v="3"/>
    <x v="0"/>
    <x v="510"/>
    <n v="3662.89"/>
    <n v="19"/>
    <n v="11342.650000000001"/>
    <x v="0"/>
    <n v="0.75589748852757055"/>
  </r>
  <r>
    <s v="ORD00512"/>
    <s v="2025-12-14"/>
    <x v="0"/>
    <x v="5"/>
    <x v="0"/>
    <x v="511"/>
    <n v="14264.51"/>
    <n v="14"/>
    <n v="33925.47"/>
    <x v="11"/>
    <n v="0.70399427432839767"/>
  </r>
  <r>
    <s v="ORD00513"/>
    <s v="2025-05-02"/>
    <x v="2"/>
    <x v="0"/>
    <x v="0"/>
    <x v="512"/>
    <n v="6767.28"/>
    <n v="9"/>
    <n v="18249.690000000002"/>
    <x v="7"/>
    <n v="0.72949242054493413"/>
  </r>
  <r>
    <s v="ORD00514"/>
    <s v="2025-11-20"/>
    <x v="2"/>
    <x v="3"/>
    <x v="0"/>
    <x v="513"/>
    <n v="7643.77"/>
    <n v="7"/>
    <n v="26218.59"/>
    <x v="6"/>
    <n v="0.7742694248126829"/>
  </r>
  <r>
    <s v="ORD00515"/>
    <s v="2025-06-19"/>
    <x v="0"/>
    <x v="4"/>
    <x v="2"/>
    <x v="514"/>
    <n v="1496.47"/>
    <n v="11"/>
    <n v="16218.15"/>
    <x v="4"/>
    <n v="0.91552344899297866"/>
  </r>
  <r>
    <s v="ORD00516"/>
    <s v="2025-06-13"/>
    <x v="2"/>
    <x v="0"/>
    <x v="0"/>
    <x v="515"/>
    <n v="348.17"/>
    <n v="11"/>
    <n v="1099.77"/>
    <x v="4"/>
    <n v="0.7595411412075086"/>
  </r>
  <r>
    <s v="ORD00517"/>
    <s v="2025-08-31"/>
    <x v="2"/>
    <x v="1"/>
    <x v="2"/>
    <x v="516"/>
    <n v="367.51"/>
    <n v="5"/>
    <n v="1808.4399999999998"/>
    <x v="0"/>
    <n v="0.83110365587444568"/>
  </r>
  <r>
    <s v="ORD00518"/>
    <s v="2025-10-27"/>
    <x v="3"/>
    <x v="5"/>
    <x v="0"/>
    <x v="517"/>
    <n v="5865.97"/>
    <n v="13"/>
    <n v="26544.739999999998"/>
    <x v="5"/>
    <n v="0.81901137000701307"/>
  </r>
  <r>
    <s v="ORD00519"/>
    <s v="2025-08-23"/>
    <x v="2"/>
    <x v="2"/>
    <x v="1"/>
    <x v="518"/>
    <n v="134.77000000000001"/>
    <n v="5"/>
    <n v="755.17000000000007"/>
    <x v="0"/>
    <n v="0.84856282446007603"/>
  </r>
  <r>
    <s v="ORD00520"/>
    <s v="2025-03-22"/>
    <x v="0"/>
    <x v="4"/>
    <x v="0"/>
    <x v="519"/>
    <n v="11846.48"/>
    <n v="13"/>
    <n v="36211.550000000003"/>
    <x v="9"/>
    <n v="0.75349634598005799"/>
  </r>
  <r>
    <s v="ORD00521"/>
    <s v="2025-07-01"/>
    <x v="1"/>
    <x v="0"/>
    <x v="0"/>
    <x v="520"/>
    <n v="711.02"/>
    <n v="14"/>
    <n v="3256.05"/>
    <x v="2"/>
    <n v="0.82076948478348"/>
  </r>
  <r>
    <s v="ORD00522"/>
    <s v="2025-12-24"/>
    <x v="1"/>
    <x v="3"/>
    <x v="2"/>
    <x v="521"/>
    <n v="6140.56"/>
    <n v="3"/>
    <n v="31913.19"/>
    <x v="11"/>
    <n v="0.83863456295371674"/>
  </r>
  <r>
    <s v="ORD00523"/>
    <s v="2025-01-03"/>
    <x v="1"/>
    <x v="2"/>
    <x v="1"/>
    <x v="522"/>
    <n v="6108.14"/>
    <n v="6"/>
    <n v="32107.059999999998"/>
    <x v="8"/>
    <n v="0.84016464652808309"/>
  </r>
  <r>
    <s v="ORD00524"/>
    <s v="2025-07-28"/>
    <x v="0"/>
    <x v="4"/>
    <x v="1"/>
    <x v="523"/>
    <n v="5529.3"/>
    <n v="15"/>
    <n v="31435.390000000003"/>
    <x v="2"/>
    <n v="0.85041670848585504"/>
  </r>
  <r>
    <s v="ORD00525"/>
    <s v="2025-08-13"/>
    <x v="2"/>
    <x v="0"/>
    <x v="2"/>
    <x v="524"/>
    <n v="3001.82"/>
    <n v="2"/>
    <n v="8861.82"/>
    <x v="0"/>
    <n v="0.74697310437606002"/>
  </r>
  <r>
    <s v="ORD00526"/>
    <s v="2025-01-27"/>
    <x v="0"/>
    <x v="1"/>
    <x v="1"/>
    <x v="525"/>
    <n v="2923.62"/>
    <n v="6"/>
    <n v="13788.120000000003"/>
    <x v="8"/>
    <n v="0.82505591877326967"/>
  </r>
  <r>
    <s v="ORD00527"/>
    <s v="2025-06-25"/>
    <x v="0"/>
    <x v="4"/>
    <x v="1"/>
    <x v="526"/>
    <n v="7113.21"/>
    <n v="3"/>
    <n v="29079.950000000004"/>
    <x v="4"/>
    <n v="0.80346535091160876"/>
  </r>
  <r>
    <s v="ORD00528"/>
    <s v="2025-06-20"/>
    <x v="1"/>
    <x v="1"/>
    <x v="0"/>
    <x v="527"/>
    <n v="1813.44"/>
    <n v="2"/>
    <n v="14696.589999999998"/>
    <x v="4"/>
    <n v="0.89016131406181576"/>
  </r>
  <r>
    <s v="ORD00529"/>
    <s v="2025-06-28"/>
    <x v="0"/>
    <x v="5"/>
    <x v="2"/>
    <x v="528"/>
    <n v="1365.35"/>
    <n v="8"/>
    <n v="7509.8899999999994"/>
    <x v="4"/>
    <n v="0.84616190660759594"/>
  </r>
  <r>
    <s v="ORD00530"/>
    <s v="2025-08-04"/>
    <x v="3"/>
    <x v="2"/>
    <x v="1"/>
    <x v="529"/>
    <n v="6600.65"/>
    <n v="20"/>
    <n v="17096.879999999997"/>
    <x v="0"/>
    <n v="0.72146253217107426"/>
  </r>
  <r>
    <s v="ORD00531"/>
    <s v="2025-10-17"/>
    <x v="2"/>
    <x v="3"/>
    <x v="0"/>
    <x v="530"/>
    <n v="2598.33"/>
    <n v="1"/>
    <n v="37982.74"/>
    <x v="5"/>
    <n v="0.93597187062834963"/>
  </r>
  <r>
    <s v="ORD00532"/>
    <s v="2025-03-06"/>
    <x v="0"/>
    <x v="3"/>
    <x v="0"/>
    <x v="531"/>
    <n v="1974.48"/>
    <n v="16"/>
    <n v="35986.25"/>
    <x v="9"/>
    <n v="0.9479862478935468"/>
  </r>
  <r>
    <s v="ORD00533"/>
    <s v="2025-12-01"/>
    <x v="0"/>
    <x v="1"/>
    <x v="1"/>
    <x v="532"/>
    <n v="549.5"/>
    <n v="13"/>
    <n v="8560.44"/>
    <x v="11"/>
    <n v="0.93968127122681377"/>
  </r>
  <r>
    <s v="ORD00534"/>
    <s v="2025-07-09"/>
    <x v="0"/>
    <x v="4"/>
    <x v="2"/>
    <x v="533"/>
    <n v="1653.51"/>
    <n v="7"/>
    <n v="21946.510000000002"/>
    <x v="2"/>
    <n v="0.92993607632535913"/>
  </r>
  <r>
    <s v="ORD00535"/>
    <s v="2025-09-07"/>
    <x v="1"/>
    <x v="0"/>
    <x v="0"/>
    <x v="534"/>
    <n v="1982.41"/>
    <n v="10"/>
    <n v="12282.54"/>
    <x v="3"/>
    <n v="0.86102930609641115"/>
  </r>
  <r>
    <s v="ORD00536"/>
    <s v="2025-01-09"/>
    <x v="2"/>
    <x v="4"/>
    <x v="2"/>
    <x v="535"/>
    <n v="4167.04"/>
    <n v="18"/>
    <n v="35715.25"/>
    <x v="8"/>
    <n v="0.89551653127240183"/>
  </r>
  <r>
    <s v="ORD00537"/>
    <s v="2025-10-03"/>
    <x v="2"/>
    <x v="4"/>
    <x v="0"/>
    <x v="536"/>
    <n v="9936.4500000000007"/>
    <n v="9"/>
    <n v="29550.880000000001"/>
    <x v="5"/>
    <n v="0.74836358902969635"/>
  </r>
  <r>
    <s v="ORD00538"/>
    <s v="2025-10-31"/>
    <x v="1"/>
    <x v="3"/>
    <x v="0"/>
    <x v="537"/>
    <n v="3187.51"/>
    <n v="10"/>
    <n v="20548.089999999997"/>
    <x v="5"/>
    <n v="0.86570762904666398"/>
  </r>
  <r>
    <s v="ORD00539"/>
    <s v="2025-01-17"/>
    <x v="3"/>
    <x v="1"/>
    <x v="0"/>
    <x v="538"/>
    <n v="1531.59"/>
    <n v="18"/>
    <n v="15281.68"/>
    <x v="8"/>
    <n v="0.90890588208004752"/>
  </r>
  <r>
    <s v="ORD00540"/>
    <s v="2025-06-28"/>
    <x v="2"/>
    <x v="5"/>
    <x v="2"/>
    <x v="539"/>
    <n v="574.52"/>
    <n v="11"/>
    <n v="10313.799999999999"/>
    <x v="4"/>
    <n v="0.94723520249221183"/>
  </r>
  <r>
    <s v="ORD00541"/>
    <s v="2025-06-23"/>
    <x v="1"/>
    <x v="5"/>
    <x v="0"/>
    <x v="540"/>
    <n v="5017.3"/>
    <n v="19"/>
    <n v="28918.38"/>
    <x v="4"/>
    <n v="0.85215266056257011"/>
  </r>
  <r>
    <s v="ORD00542"/>
    <s v="2025-10-02"/>
    <x v="1"/>
    <x v="3"/>
    <x v="1"/>
    <x v="541"/>
    <n v="4914.6499999999996"/>
    <n v="1"/>
    <n v="18400.5"/>
    <x v="5"/>
    <n v="0.78920787556588734"/>
  </r>
  <r>
    <s v="ORD00543"/>
    <s v="2025-08-08"/>
    <x v="1"/>
    <x v="0"/>
    <x v="1"/>
    <x v="542"/>
    <n v="3358.46"/>
    <n v="11"/>
    <n v="28545.13"/>
    <x v="0"/>
    <n v="0.89473096914798622"/>
  </r>
  <r>
    <s v="ORD00544"/>
    <s v="2025-08-03"/>
    <x v="3"/>
    <x v="2"/>
    <x v="0"/>
    <x v="543"/>
    <n v="86.8"/>
    <n v="19"/>
    <n v="1610.29"/>
    <x v="0"/>
    <n v="0.94885362591259159"/>
  </r>
  <r>
    <s v="ORD00545"/>
    <s v="2025-01-11"/>
    <x v="2"/>
    <x v="5"/>
    <x v="1"/>
    <x v="544"/>
    <n v="1544.93"/>
    <n v="7"/>
    <n v="9408.9499999999989"/>
    <x v="8"/>
    <n v="0.85896047793110752"/>
  </r>
  <r>
    <s v="ORD00546"/>
    <s v="2025-02-06"/>
    <x v="0"/>
    <x v="4"/>
    <x v="1"/>
    <x v="545"/>
    <n v="688.9"/>
    <n v="8"/>
    <n v="3258.87"/>
    <x v="10"/>
    <n v="0.82549641949758978"/>
  </r>
  <r>
    <s v="ORD00547"/>
    <s v="2025-06-04"/>
    <x v="0"/>
    <x v="0"/>
    <x v="0"/>
    <x v="546"/>
    <n v="3328.62"/>
    <n v="2"/>
    <n v="9438.7599999999984"/>
    <x v="4"/>
    <n v="0.73928715210168405"/>
  </r>
  <r>
    <s v="ORD00548"/>
    <s v="2025-06-07"/>
    <x v="1"/>
    <x v="0"/>
    <x v="2"/>
    <x v="547"/>
    <n v="1759.67"/>
    <n v="19"/>
    <n v="6673.0300000000007"/>
    <x v="4"/>
    <n v="0.79132780722662965"/>
  </r>
  <r>
    <s v="ORD00549"/>
    <s v="2025-05-01"/>
    <x v="3"/>
    <x v="2"/>
    <x v="1"/>
    <x v="548"/>
    <n v="5277.74"/>
    <n v="11"/>
    <n v="37060.920000000006"/>
    <x v="7"/>
    <n v="0.87534466135678368"/>
  </r>
  <r>
    <s v="ORD00550"/>
    <s v="2025-10-11"/>
    <x v="1"/>
    <x v="2"/>
    <x v="0"/>
    <x v="549"/>
    <n v="6467.46"/>
    <n v="20"/>
    <n v="24246.73"/>
    <x v="5"/>
    <n v="0.78943087869157547"/>
  </r>
  <r>
    <s v="ORD00551"/>
    <s v="2025-05-07"/>
    <x v="1"/>
    <x v="1"/>
    <x v="2"/>
    <x v="550"/>
    <n v="7905.36"/>
    <n v="12"/>
    <n v="39855.409999999996"/>
    <x v="7"/>
    <n v="0.83448005549324267"/>
  </r>
  <r>
    <s v="ORD00552"/>
    <s v="2025-10-29"/>
    <x v="3"/>
    <x v="3"/>
    <x v="0"/>
    <x v="551"/>
    <n v="2516.21"/>
    <n v="20"/>
    <n v="26759.780000000002"/>
    <x v="5"/>
    <n v="0.91405209524938358"/>
  </r>
  <r>
    <s v="ORD00553"/>
    <s v="2025-10-28"/>
    <x v="0"/>
    <x v="0"/>
    <x v="0"/>
    <x v="552"/>
    <n v="2942.34"/>
    <n v="18"/>
    <n v="39269.369999999995"/>
    <x v="5"/>
    <n v="0.93029564545004206"/>
  </r>
  <r>
    <s v="ORD00554"/>
    <s v="2025-12-26"/>
    <x v="2"/>
    <x v="4"/>
    <x v="0"/>
    <x v="553"/>
    <n v="2814.73"/>
    <n v="7"/>
    <n v="7640.66"/>
    <x v="11"/>
    <n v="0.73078670427406345"/>
  </r>
  <r>
    <s v="ORD00555"/>
    <s v="2025-06-13"/>
    <x v="1"/>
    <x v="4"/>
    <x v="0"/>
    <x v="554"/>
    <n v="896.41"/>
    <n v="8"/>
    <n v="2416.59"/>
    <x v="4"/>
    <n v="0.72942650166012679"/>
  </r>
  <r>
    <s v="ORD00556"/>
    <s v="2025-03-06"/>
    <x v="2"/>
    <x v="4"/>
    <x v="2"/>
    <x v="555"/>
    <n v="8130.89"/>
    <n v="20"/>
    <n v="36829.17"/>
    <x v="9"/>
    <n v="0.81915304383490595"/>
  </r>
  <r>
    <s v="ORD00557"/>
    <s v="2025-10-28"/>
    <x v="2"/>
    <x v="1"/>
    <x v="1"/>
    <x v="556"/>
    <n v="3281.53"/>
    <n v="10"/>
    <n v="18186.260000000002"/>
    <x v="5"/>
    <n v="0.84714169460386934"/>
  </r>
  <r>
    <s v="ORD00558"/>
    <s v="2025-09-04"/>
    <x v="1"/>
    <x v="0"/>
    <x v="1"/>
    <x v="557"/>
    <n v="7365.95"/>
    <n v="17"/>
    <n v="32165.679999999997"/>
    <x v="3"/>
    <n v="0.81366945911413213"/>
  </r>
  <r>
    <s v="ORD00559"/>
    <s v="2025-04-12"/>
    <x v="2"/>
    <x v="0"/>
    <x v="0"/>
    <x v="558"/>
    <n v="297.17"/>
    <n v="15"/>
    <n v="1452.62"/>
    <x v="1"/>
    <n v="0.83016819161156474"/>
  </r>
  <r>
    <s v="ORD00560"/>
    <s v="2025-12-12"/>
    <x v="1"/>
    <x v="2"/>
    <x v="0"/>
    <x v="559"/>
    <n v="11507.78"/>
    <n v="9"/>
    <n v="34477.660000000003"/>
    <x v="11"/>
    <n v="0.7497516605255925"/>
  </r>
  <r>
    <s v="ORD00561"/>
    <s v="2025-05-13"/>
    <x v="0"/>
    <x v="5"/>
    <x v="0"/>
    <x v="560"/>
    <n v="5270.71"/>
    <n v="3"/>
    <n v="40319.450000000004"/>
    <x v="7"/>
    <n v="0.88438930681533034"/>
  </r>
  <r>
    <s v="ORD00562"/>
    <s v="2025-04-28"/>
    <x v="2"/>
    <x v="0"/>
    <x v="2"/>
    <x v="561"/>
    <n v="1609.43"/>
    <n v="8"/>
    <n v="16156.739999999998"/>
    <x v="1"/>
    <n v="0.90941041316164373"/>
  </r>
  <r>
    <s v="ORD00563"/>
    <s v="2025-12-21"/>
    <x v="2"/>
    <x v="3"/>
    <x v="0"/>
    <x v="562"/>
    <n v="3066.37"/>
    <n v="4"/>
    <n v="20099.030000000002"/>
    <x v="11"/>
    <n v="0.86763146761981236"/>
  </r>
  <r>
    <s v="ORD00564"/>
    <s v="2025-03-14"/>
    <x v="2"/>
    <x v="5"/>
    <x v="2"/>
    <x v="563"/>
    <n v="2278.61"/>
    <n v="6"/>
    <n v="12273.449999999999"/>
    <x v="9"/>
    <n v="0.84341667090432548"/>
  </r>
  <r>
    <s v="ORD00565"/>
    <s v="2025-12-23"/>
    <x v="3"/>
    <x v="3"/>
    <x v="0"/>
    <x v="564"/>
    <n v="3676"/>
    <n v="7"/>
    <n v="10863.63"/>
    <x v="11"/>
    <n v="0.74717375889207638"/>
  </r>
  <r>
    <s v="ORD00566"/>
    <s v="2025-10-02"/>
    <x v="1"/>
    <x v="3"/>
    <x v="1"/>
    <x v="565"/>
    <n v="2524.13"/>
    <n v="9"/>
    <n v="9031.119999999999"/>
    <x v="5"/>
    <n v="0.78155989701650752"/>
  </r>
  <r>
    <s v="ORD00567"/>
    <s v="2025-07-22"/>
    <x v="3"/>
    <x v="0"/>
    <x v="0"/>
    <x v="566"/>
    <n v="1695.83"/>
    <n v="20"/>
    <n v="8199.02"/>
    <x v="2"/>
    <n v="0.82861488552125606"/>
  </r>
  <r>
    <s v="ORD00568"/>
    <s v="2025-02-20"/>
    <x v="1"/>
    <x v="1"/>
    <x v="1"/>
    <x v="567"/>
    <n v="5020.4799999999996"/>
    <n v="13"/>
    <n v="30157.219999999998"/>
    <x v="10"/>
    <n v="0.85728231237403241"/>
  </r>
  <r>
    <s v="ORD00569"/>
    <s v="2025-06-19"/>
    <x v="2"/>
    <x v="1"/>
    <x v="2"/>
    <x v="568"/>
    <n v="2873.99"/>
    <n v="1"/>
    <n v="43198.630000000005"/>
    <x v="4"/>
    <n v="0.93762043486999447"/>
  </r>
  <r>
    <s v="ORD00570"/>
    <s v="2025-06-01"/>
    <x v="3"/>
    <x v="2"/>
    <x v="1"/>
    <x v="569"/>
    <n v="9631.7199999999993"/>
    <n v="13"/>
    <n v="34243.51"/>
    <x v="4"/>
    <n v="0.78047476902115387"/>
  </r>
  <r>
    <s v="ORD00571"/>
    <s v="2025-10-27"/>
    <x v="3"/>
    <x v="5"/>
    <x v="1"/>
    <x v="570"/>
    <n v="4309.2299999999996"/>
    <n v="8"/>
    <n v="15602.619999999999"/>
    <x v="5"/>
    <n v="0.7835846493419748"/>
  </r>
  <r>
    <s v="ORD00572"/>
    <s v="2025-06-10"/>
    <x v="0"/>
    <x v="4"/>
    <x v="0"/>
    <x v="571"/>
    <n v="1315.14"/>
    <n v="9"/>
    <n v="9376.7100000000009"/>
    <x v="4"/>
    <n v="0.87699602968616286"/>
  </r>
  <r>
    <s v="ORD00573"/>
    <s v="2025-05-14"/>
    <x v="2"/>
    <x v="4"/>
    <x v="0"/>
    <x v="572"/>
    <n v="12872.3"/>
    <n v="18"/>
    <n v="34648.14"/>
    <x v="7"/>
    <n v="0.72912077413424614"/>
  </r>
  <r>
    <s v="ORD00574"/>
    <s v="2025-01-29"/>
    <x v="2"/>
    <x v="1"/>
    <x v="1"/>
    <x v="573"/>
    <n v="7334.96"/>
    <n v="9"/>
    <n v="33065.46"/>
    <x v="8"/>
    <n v="0.81844347162727515"/>
  </r>
  <r>
    <s v="ORD00575"/>
    <s v="2025-06-27"/>
    <x v="0"/>
    <x v="2"/>
    <x v="0"/>
    <x v="574"/>
    <n v="2394.5100000000002"/>
    <n v="17"/>
    <n v="35757.729999999996"/>
    <x v="4"/>
    <n v="0.93723802324581718"/>
  </r>
  <r>
    <s v="ORD00576"/>
    <s v="2025-01-20"/>
    <x v="3"/>
    <x v="2"/>
    <x v="1"/>
    <x v="575"/>
    <n v="4434.3500000000004"/>
    <n v="6"/>
    <n v="21840.83"/>
    <x v="8"/>
    <n v="0.83123426747219242"/>
  </r>
  <r>
    <s v="ORD00577"/>
    <s v="2025-04-26"/>
    <x v="0"/>
    <x v="0"/>
    <x v="0"/>
    <x v="576"/>
    <n v="3014.66"/>
    <n v="7"/>
    <n v="40356.300000000003"/>
    <x v="1"/>
    <n v="0.93049127803488796"/>
  </r>
  <r>
    <s v="ORD00578"/>
    <s v="2025-10-19"/>
    <x v="2"/>
    <x v="4"/>
    <x v="0"/>
    <x v="577"/>
    <n v="792.45"/>
    <n v="7"/>
    <n v="9055.9399999999987"/>
    <x v="5"/>
    <n v="0.91953507121468581"/>
  </r>
  <r>
    <s v="ORD00579"/>
    <s v="2025-07-27"/>
    <x v="2"/>
    <x v="1"/>
    <x v="2"/>
    <x v="578"/>
    <n v="4442.12"/>
    <n v="8"/>
    <n v="32983.049999999996"/>
    <x v="2"/>
    <n v="0.88130661797929033"/>
  </r>
  <r>
    <s v="ORD00580"/>
    <s v="2025-05-28"/>
    <x v="1"/>
    <x v="2"/>
    <x v="2"/>
    <x v="579"/>
    <n v="2338.84"/>
    <n v="6"/>
    <n v="21061.34"/>
    <x v="7"/>
    <n v="0.90005034149309959"/>
  </r>
  <r>
    <s v="ORD00581"/>
    <s v="2025-11-02"/>
    <x v="2"/>
    <x v="4"/>
    <x v="2"/>
    <x v="580"/>
    <n v="3377.65"/>
    <n v="4"/>
    <n v="20015.739999999998"/>
    <x v="6"/>
    <n v="0.85561519728436108"/>
  </r>
  <r>
    <s v="ORD00582"/>
    <s v="2025-11-26"/>
    <x v="0"/>
    <x v="2"/>
    <x v="0"/>
    <x v="581"/>
    <n v="7427.29"/>
    <n v="19"/>
    <n v="25417.909999999996"/>
    <x v="6"/>
    <n v="0.77386985008463938"/>
  </r>
  <r>
    <s v="ORD00583"/>
    <s v="2025-09-16"/>
    <x v="0"/>
    <x v="3"/>
    <x v="1"/>
    <x v="582"/>
    <n v="1592.57"/>
    <n v="11"/>
    <n v="8105.17"/>
    <x v="3"/>
    <n v="0.83577926403471325"/>
  </r>
  <r>
    <s v="ORD00584"/>
    <s v="2025-05-01"/>
    <x v="2"/>
    <x v="2"/>
    <x v="2"/>
    <x v="583"/>
    <n v="7765.93"/>
    <n v="1"/>
    <n v="23546.91"/>
    <x v="7"/>
    <n v="0.75198896043923191"/>
  </r>
  <r>
    <s v="ORD00585"/>
    <s v="2025-05-03"/>
    <x v="0"/>
    <x v="3"/>
    <x v="2"/>
    <x v="584"/>
    <n v="5466.3"/>
    <n v="5"/>
    <n v="14090.04"/>
    <x v="7"/>
    <n v="0.72048450783735607"/>
  </r>
  <r>
    <s v="ORD00586"/>
    <s v="2025-02-25"/>
    <x v="0"/>
    <x v="2"/>
    <x v="1"/>
    <x v="585"/>
    <n v="2889.3"/>
    <n v="12"/>
    <n v="31796.66"/>
    <x v="10"/>
    <n v="0.91670116669684221"/>
  </r>
  <r>
    <s v="ORD00587"/>
    <s v="2025-06-10"/>
    <x v="2"/>
    <x v="0"/>
    <x v="0"/>
    <x v="586"/>
    <n v="2475.58"/>
    <n v="3"/>
    <n v="19583.57"/>
    <x v="4"/>
    <n v="0.88777536759122622"/>
  </r>
  <r>
    <s v="ORD00588"/>
    <s v="2025-03-14"/>
    <x v="2"/>
    <x v="2"/>
    <x v="2"/>
    <x v="587"/>
    <n v="6175.11"/>
    <n v="18"/>
    <n v="31357.93"/>
    <x v="9"/>
    <n v="0.83547535717863508"/>
  </r>
  <r>
    <s v="ORD00589"/>
    <s v="2025-10-17"/>
    <x v="0"/>
    <x v="2"/>
    <x v="2"/>
    <x v="588"/>
    <n v="3137.62"/>
    <n v="18"/>
    <n v="37228.29"/>
    <x v="5"/>
    <n v="0.92227054958007881"/>
  </r>
  <r>
    <s v="ORD00590"/>
    <s v="2025-06-30"/>
    <x v="1"/>
    <x v="4"/>
    <x v="0"/>
    <x v="589"/>
    <n v="1261.1099999999999"/>
    <n v="14"/>
    <n v="5151"/>
    <x v="4"/>
    <n v="0.80332371091575161"/>
  </r>
  <r>
    <s v="ORD00591"/>
    <s v="2025-11-01"/>
    <x v="1"/>
    <x v="2"/>
    <x v="1"/>
    <x v="590"/>
    <n v="2268.4899999999998"/>
    <n v="11"/>
    <n v="15309.17"/>
    <x v="6"/>
    <n v="0.87094471050185296"/>
  </r>
  <r>
    <s v="ORD00592"/>
    <s v="2025-10-31"/>
    <x v="1"/>
    <x v="3"/>
    <x v="0"/>
    <x v="591"/>
    <n v="339.74"/>
    <n v="8"/>
    <n v="2435.4799999999996"/>
    <x v="5"/>
    <n v="0.87758087647105443"/>
  </r>
  <r>
    <s v="ORD00593"/>
    <s v="2025-03-26"/>
    <x v="1"/>
    <x v="5"/>
    <x v="1"/>
    <x v="592"/>
    <n v="2924.74"/>
    <n v="8"/>
    <n v="17884.580000000002"/>
    <x v="9"/>
    <n v="0.85945047699780686"/>
  </r>
  <r>
    <s v="ORD00594"/>
    <s v="2025-02-04"/>
    <x v="0"/>
    <x v="0"/>
    <x v="0"/>
    <x v="593"/>
    <n v="5902.8"/>
    <n v="2"/>
    <n v="28735.360000000004"/>
    <x v="10"/>
    <n v="0.82958679098427868"/>
  </r>
  <r>
    <s v="ORD00595"/>
    <s v="2025-03-18"/>
    <x v="1"/>
    <x v="0"/>
    <x v="1"/>
    <x v="594"/>
    <n v="4211.0600000000004"/>
    <n v="2"/>
    <n v="40954.5"/>
    <x v="9"/>
    <n v="0.90676391480588314"/>
  </r>
  <r>
    <s v="ORD00596"/>
    <s v="2025-01-02"/>
    <x v="0"/>
    <x v="3"/>
    <x v="0"/>
    <x v="595"/>
    <n v="7545.19"/>
    <n v="10"/>
    <n v="18980.68"/>
    <x v="8"/>
    <n v="0.71555353321116333"/>
  </r>
  <r>
    <s v="ORD00597"/>
    <s v="2025-08-20"/>
    <x v="3"/>
    <x v="3"/>
    <x v="0"/>
    <x v="596"/>
    <n v="452.45"/>
    <n v="7"/>
    <n v="4634.4400000000005"/>
    <x v="0"/>
    <n v="0.91105567448873481"/>
  </r>
  <r>
    <s v="ORD00598"/>
    <s v="2025-09-07"/>
    <x v="1"/>
    <x v="5"/>
    <x v="0"/>
    <x v="597"/>
    <n v="1049.1099999999999"/>
    <n v="5"/>
    <n v="4086.3100000000004"/>
    <x v="3"/>
    <n v="0.79571096424440457"/>
  </r>
  <r>
    <s v="ORD00599"/>
    <s v="2025-07-19"/>
    <x v="3"/>
    <x v="5"/>
    <x v="1"/>
    <x v="598"/>
    <n v="4980.07"/>
    <n v="8"/>
    <n v="38578.720000000001"/>
    <x v="2"/>
    <n v="0.88567014832138358"/>
  </r>
  <r>
    <s v="ORD00600"/>
    <s v="2025-07-09"/>
    <x v="1"/>
    <x v="3"/>
    <x v="1"/>
    <x v="599"/>
    <n v="2278.42"/>
    <n v="18"/>
    <n v="25386.940000000002"/>
    <x v="2"/>
    <n v="0.91764358027511672"/>
  </r>
  <r>
    <s v="ORD00601"/>
    <s v="2025-12-26"/>
    <x v="3"/>
    <x v="0"/>
    <x v="0"/>
    <x v="600"/>
    <n v="5063.32"/>
    <n v="19"/>
    <n v="33701.47"/>
    <x v="11"/>
    <n v="0.86938353077625341"/>
  </r>
  <r>
    <s v="ORD00602"/>
    <s v="2025-11-06"/>
    <x v="3"/>
    <x v="4"/>
    <x v="0"/>
    <x v="601"/>
    <n v="4406.0200000000004"/>
    <n v="19"/>
    <n v="33737.64"/>
    <x v="6"/>
    <n v="0.88448879840057293"/>
  </r>
  <r>
    <s v="ORD00603"/>
    <s v="2025-10-18"/>
    <x v="3"/>
    <x v="4"/>
    <x v="0"/>
    <x v="602"/>
    <n v="2865.49"/>
    <n v="3"/>
    <n v="8654.52"/>
    <x v="5"/>
    <n v="0.75125976453145438"/>
  </r>
  <r>
    <s v="ORD00604"/>
    <s v="2026-01-01"/>
    <x v="3"/>
    <x v="3"/>
    <x v="2"/>
    <x v="603"/>
    <n v="9661.7800000000007"/>
    <n v="19"/>
    <n v="28172.880000000005"/>
    <x v="8"/>
    <n v="0.74463150983780491"/>
  </r>
  <r>
    <s v="ORD00605"/>
    <s v="2025-08-02"/>
    <x v="0"/>
    <x v="0"/>
    <x v="2"/>
    <x v="604"/>
    <n v="587.75"/>
    <n v="1"/>
    <n v="5564.94"/>
    <x v="0"/>
    <n v="0.90447267780434248"/>
  </r>
  <r>
    <s v="ORD00606"/>
    <s v="2025-06-13"/>
    <x v="2"/>
    <x v="3"/>
    <x v="1"/>
    <x v="605"/>
    <n v="2004.91"/>
    <n v="6"/>
    <n v="15613.98"/>
    <x v="4"/>
    <n v="0.88620679282293036"/>
  </r>
  <r>
    <s v="ORD00607"/>
    <s v="2025-02-04"/>
    <x v="1"/>
    <x v="4"/>
    <x v="2"/>
    <x v="606"/>
    <n v="5188.91"/>
    <n v="5"/>
    <n v="31475.210000000003"/>
    <x v="10"/>
    <n v="0.85847444313405041"/>
  </r>
  <r>
    <s v="ORD00608"/>
    <s v="2025-08-20"/>
    <x v="2"/>
    <x v="5"/>
    <x v="2"/>
    <x v="607"/>
    <n v="5566.17"/>
    <n v="4"/>
    <n v="13604.699999999999"/>
    <x v="0"/>
    <n v="0.70965480439854844"/>
  </r>
  <r>
    <s v="ORD00609"/>
    <s v="2025-09-26"/>
    <x v="2"/>
    <x v="5"/>
    <x v="1"/>
    <x v="608"/>
    <n v="7074.75"/>
    <n v="18"/>
    <n v="31150.28"/>
    <x v="3"/>
    <n v="0.81491839247738984"/>
  </r>
  <r>
    <s v="ORD00610"/>
    <s v="2025-03-28"/>
    <x v="2"/>
    <x v="3"/>
    <x v="1"/>
    <x v="609"/>
    <n v="2508.71"/>
    <n v="15"/>
    <n v="14420.21"/>
    <x v="9"/>
    <n v="0.85180921169218127"/>
  </r>
  <r>
    <s v="ORD00611"/>
    <s v="2025-11-13"/>
    <x v="1"/>
    <x v="3"/>
    <x v="2"/>
    <x v="610"/>
    <n v="2615.0500000000002"/>
    <n v="14"/>
    <n v="14865.48"/>
    <x v="6"/>
    <n v="0.85040213311610124"/>
  </r>
  <r>
    <s v="ORD00612"/>
    <s v="2025-05-23"/>
    <x v="1"/>
    <x v="2"/>
    <x v="0"/>
    <x v="611"/>
    <n v="9688.16"/>
    <n v="1"/>
    <n v="37757.33"/>
    <x v="7"/>
    <n v="0.79580440627760407"/>
  </r>
  <r>
    <s v="ORD00613"/>
    <s v="2025-04-22"/>
    <x v="0"/>
    <x v="2"/>
    <x v="0"/>
    <x v="612"/>
    <n v="6705.49"/>
    <n v="2"/>
    <n v="28355.760000000002"/>
    <x v="1"/>
    <n v="0.80874926022318094"/>
  </r>
  <r>
    <s v="ORD00614"/>
    <s v="2025-06-02"/>
    <x v="3"/>
    <x v="1"/>
    <x v="2"/>
    <x v="613"/>
    <n v="10414.879999999999"/>
    <n v="12"/>
    <n v="39352.14"/>
    <x v="4"/>
    <n v="0.7907272728003405"/>
  </r>
  <r>
    <s v="ORD00615"/>
    <s v="2025-04-13"/>
    <x v="3"/>
    <x v="0"/>
    <x v="0"/>
    <x v="614"/>
    <n v="6446.34"/>
    <n v="17"/>
    <n v="22993.11"/>
    <x v="1"/>
    <n v="0.78103055593769588"/>
  </r>
  <r>
    <s v="ORD00616"/>
    <s v="2025-10-08"/>
    <x v="0"/>
    <x v="2"/>
    <x v="1"/>
    <x v="615"/>
    <n v="7764.34"/>
    <n v="18"/>
    <n v="18723.099999999999"/>
    <x v="5"/>
    <n v="0.70686710380467122"/>
  </r>
  <r>
    <s v="ORD00617"/>
    <s v="2025-04-09"/>
    <x v="1"/>
    <x v="2"/>
    <x v="1"/>
    <x v="616"/>
    <n v="8364.27"/>
    <n v="14"/>
    <n v="28045.01"/>
    <x v="1"/>
    <n v="0.77027093092749976"/>
  </r>
  <r>
    <s v="ORD00618"/>
    <s v="2025-09-13"/>
    <x v="2"/>
    <x v="1"/>
    <x v="2"/>
    <x v="617"/>
    <n v="9913.7900000000009"/>
    <n v="5"/>
    <n v="32052.1"/>
    <x v="3"/>
    <n v="0.76376552481074511"/>
  </r>
  <r>
    <s v="ORD00619"/>
    <s v="2025-05-09"/>
    <x v="2"/>
    <x v="3"/>
    <x v="1"/>
    <x v="618"/>
    <n v="1884.41"/>
    <n v="18"/>
    <n v="33639.839999999997"/>
    <x v="7"/>
    <n v="0.94695426363681134"/>
  </r>
  <r>
    <s v="ORD00620"/>
    <s v="2025-04-12"/>
    <x v="1"/>
    <x v="4"/>
    <x v="1"/>
    <x v="619"/>
    <n v="1552.04"/>
    <n v="9"/>
    <n v="4517.67"/>
    <x v="1"/>
    <n v="0.74429750350510981"/>
  </r>
  <r>
    <s v="ORD00621"/>
    <s v="2025-04-12"/>
    <x v="3"/>
    <x v="3"/>
    <x v="0"/>
    <x v="620"/>
    <n v="124.5"/>
    <n v="16"/>
    <n v="988.17000000000007"/>
    <x v="1"/>
    <n v="0.88810698589878401"/>
  </r>
  <r>
    <s v="ORD00622"/>
    <s v="2025-02-18"/>
    <x v="2"/>
    <x v="0"/>
    <x v="2"/>
    <x v="621"/>
    <n v="8147.85"/>
    <n v="10"/>
    <n v="25243.630000000005"/>
    <x v="10"/>
    <n v="0.75599015078097775"/>
  </r>
  <r>
    <s v="ORD00623"/>
    <s v="2025-10-09"/>
    <x v="0"/>
    <x v="4"/>
    <x v="1"/>
    <x v="622"/>
    <n v="7635.24"/>
    <n v="15"/>
    <n v="25476.080000000002"/>
    <x v="5"/>
    <n v="0.76940695810375426"/>
  </r>
  <r>
    <s v="ORD00624"/>
    <s v="2025-09-12"/>
    <x v="0"/>
    <x v="3"/>
    <x v="2"/>
    <x v="623"/>
    <n v="3810.62"/>
    <n v="1"/>
    <n v="13763.27"/>
    <x v="3"/>
    <n v="0.78316582156824699"/>
  </r>
  <r>
    <s v="ORD00625"/>
    <s v="2025-05-15"/>
    <x v="1"/>
    <x v="5"/>
    <x v="2"/>
    <x v="624"/>
    <n v="4259.3"/>
    <n v="19"/>
    <n v="14800.43"/>
    <x v="7"/>
    <n v="0.77652883855122823"/>
  </r>
  <r>
    <s v="ORD00626"/>
    <s v="2025-03-24"/>
    <x v="2"/>
    <x v="3"/>
    <x v="2"/>
    <x v="625"/>
    <n v="8982.0400000000009"/>
    <n v="12"/>
    <n v="39118.57"/>
    <x v="9"/>
    <n v="0.81326556981293996"/>
  </r>
  <r>
    <s v="ORD00627"/>
    <s v="2025-02-17"/>
    <x v="0"/>
    <x v="1"/>
    <x v="1"/>
    <x v="626"/>
    <n v="1825.23"/>
    <n v="6"/>
    <n v="15276.170000000002"/>
    <x v="10"/>
    <n v="0.89327014162583185"/>
  </r>
  <r>
    <s v="ORD00628"/>
    <s v="2025-12-04"/>
    <x v="0"/>
    <x v="5"/>
    <x v="0"/>
    <x v="627"/>
    <n v="6151.58"/>
    <n v="8"/>
    <n v="23007.1"/>
    <x v="11"/>
    <n v="0.78903091635149458"/>
  </r>
  <r>
    <s v="ORD00629"/>
    <s v="2025-01-08"/>
    <x v="0"/>
    <x v="3"/>
    <x v="1"/>
    <x v="628"/>
    <n v="2668.31"/>
    <n v="5"/>
    <n v="11115.42"/>
    <x v="8"/>
    <n v="0.80641597013290311"/>
  </r>
  <r>
    <s v="ORD00630"/>
    <s v="2025-03-04"/>
    <x v="0"/>
    <x v="0"/>
    <x v="2"/>
    <x v="629"/>
    <n v="5653.91"/>
    <n v="13"/>
    <n v="37173.33"/>
    <x v="9"/>
    <n v="0.86798332089576646"/>
  </r>
  <r>
    <s v="ORD00631"/>
    <s v="2025-01-14"/>
    <x v="1"/>
    <x v="4"/>
    <x v="1"/>
    <x v="630"/>
    <n v="776.73"/>
    <n v="7"/>
    <n v="2716.19"/>
    <x v="8"/>
    <n v="0.77762731468227153"/>
  </r>
  <r>
    <s v="ORD00632"/>
    <s v="2025-08-30"/>
    <x v="3"/>
    <x v="1"/>
    <x v="2"/>
    <x v="631"/>
    <n v="5033.8599999999997"/>
    <n v="6"/>
    <n v="43051.32"/>
    <x v="0"/>
    <n v="0.89531369124541071"/>
  </r>
  <r>
    <s v="ORD00633"/>
    <s v="2025-08-07"/>
    <x v="2"/>
    <x v="0"/>
    <x v="0"/>
    <x v="632"/>
    <n v="1773"/>
    <n v="7"/>
    <n v="7273.08"/>
    <x v="0"/>
    <n v="0.80400350206940463"/>
  </r>
  <r>
    <s v="ORD00634"/>
    <s v="2025-09-22"/>
    <x v="0"/>
    <x v="4"/>
    <x v="1"/>
    <x v="633"/>
    <n v="1638.55"/>
    <n v="15"/>
    <n v="9697.1400000000012"/>
    <x v="3"/>
    <n v="0.85545211628052642"/>
  </r>
  <r>
    <s v="ORD00635"/>
    <s v="2025-06-23"/>
    <x v="0"/>
    <x v="0"/>
    <x v="2"/>
    <x v="634"/>
    <n v="2734.08"/>
    <n v="16"/>
    <n v="42862.15"/>
    <x v="4"/>
    <n v="0.94003714780805336"/>
  </r>
  <r>
    <s v="ORD00636"/>
    <s v="2025-03-16"/>
    <x v="1"/>
    <x v="4"/>
    <x v="2"/>
    <x v="635"/>
    <n v="10007.709999999999"/>
    <n v="8"/>
    <n v="37939.700000000004"/>
    <x v="9"/>
    <n v="0.79127735992413362"/>
  </r>
  <r>
    <s v="ORD00637"/>
    <s v="2025-07-27"/>
    <x v="0"/>
    <x v="1"/>
    <x v="1"/>
    <x v="636"/>
    <n v="5470.38"/>
    <n v="12"/>
    <n v="20072.03"/>
    <x v="2"/>
    <n v="0.78583148575251904"/>
  </r>
  <r>
    <s v="ORD00638"/>
    <s v="2025-10-28"/>
    <x v="0"/>
    <x v="2"/>
    <x v="0"/>
    <x v="637"/>
    <n v="4700.62"/>
    <n v="20"/>
    <n v="11234.21"/>
    <x v="5"/>
    <n v="0.70500971770643295"/>
  </r>
  <r>
    <s v="ORD00639"/>
    <s v="2025-06-30"/>
    <x v="2"/>
    <x v="4"/>
    <x v="1"/>
    <x v="638"/>
    <n v="10280.68"/>
    <n v="18"/>
    <n v="36758.04"/>
    <x v="4"/>
    <n v="0.78144218210019323"/>
  </r>
  <r>
    <s v="ORD00640"/>
    <s v="2025-09-06"/>
    <x v="0"/>
    <x v="1"/>
    <x v="0"/>
    <x v="639"/>
    <n v="8805.07"/>
    <n v="20"/>
    <n v="29660.989999999998"/>
    <x v="3"/>
    <n v="0.77109509006121235"/>
  </r>
  <r>
    <s v="ORD00641"/>
    <s v="2025-12-17"/>
    <x v="2"/>
    <x v="4"/>
    <x v="2"/>
    <x v="640"/>
    <n v="4306.05"/>
    <n v="13"/>
    <n v="16322.119999999999"/>
    <x v="11"/>
    <n v="0.7912539018245438"/>
  </r>
  <r>
    <s v="ORD00642"/>
    <s v="2025-07-10"/>
    <x v="0"/>
    <x v="3"/>
    <x v="0"/>
    <x v="641"/>
    <n v="1325.56"/>
    <n v="13"/>
    <n v="17242.18"/>
    <x v="2"/>
    <n v="0.92860951305867057"/>
  </r>
  <r>
    <s v="ORD00643"/>
    <s v="2025-09-28"/>
    <x v="3"/>
    <x v="0"/>
    <x v="0"/>
    <x v="642"/>
    <n v="12117.9"/>
    <n v="16"/>
    <n v="31508.739999999998"/>
    <x v="3"/>
    <n v="0.72223622997324566"/>
  </r>
  <r>
    <s v="ORD00644"/>
    <s v="2025-06-20"/>
    <x v="2"/>
    <x v="3"/>
    <x v="2"/>
    <x v="643"/>
    <n v="5113.8999999999996"/>
    <n v="20"/>
    <n v="22816.86"/>
    <x v="4"/>
    <n v="0.81690795381149683"/>
  </r>
  <r>
    <s v="ORD00645"/>
    <s v="2025-11-23"/>
    <x v="3"/>
    <x v="1"/>
    <x v="2"/>
    <x v="644"/>
    <n v="9008.9599999999991"/>
    <n v="6"/>
    <n v="26885.35"/>
    <x v="6"/>
    <n v="0.74901425880592221"/>
  </r>
  <r>
    <s v="ORD00646"/>
    <s v="2025-02-26"/>
    <x v="0"/>
    <x v="5"/>
    <x v="2"/>
    <x v="645"/>
    <n v="1946.65"/>
    <n v="20"/>
    <n v="14219.02"/>
    <x v="10"/>
    <n v="0.87958123603908778"/>
  </r>
  <r>
    <s v="ORD00647"/>
    <s v="2025-04-10"/>
    <x v="2"/>
    <x v="1"/>
    <x v="0"/>
    <x v="646"/>
    <n v="2132.31"/>
    <n v="16"/>
    <n v="7130.9700000000012"/>
    <x v="1"/>
    <n v="0.76981047749825127"/>
  </r>
  <r>
    <s v="ORD00648"/>
    <s v="2025-11-29"/>
    <x v="1"/>
    <x v="4"/>
    <x v="2"/>
    <x v="647"/>
    <n v="11340.02"/>
    <n v="11"/>
    <n v="28288.84"/>
    <x v="6"/>
    <n v="0.7138444053147126"/>
  </r>
  <r>
    <s v="ORD00649"/>
    <s v="2025-11-01"/>
    <x v="0"/>
    <x v="4"/>
    <x v="0"/>
    <x v="648"/>
    <n v="307.99"/>
    <n v="9"/>
    <n v="1593.77"/>
    <x v="6"/>
    <n v="0.83805001682651858"/>
  </r>
  <r>
    <s v="ORD00650"/>
    <s v="2025-09-12"/>
    <x v="0"/>
    <x v="3"/>
    <x v="1"/>
    <x v="649"/>
    <n v="2876.88"/>
    <n v="2"/>
    <n v="19452.079999999998"/>
    <x v="3"/>
    <n v="0.87115924790048438"/>
  </r>
  <r>
    <s v="ORD00651"/>
    <s v="2025-12-24"/>
    <x v="1"/>
    <x v="0"/>
    <x v="0"/>
    <x v="650"/>
    <n v="1286.53"/>
    <n v="4"/>
    <n v="5695"/>
    <x v="11"/>
    <n v="0.81572377401515139"/>
  </r>
  <r>
    <s v="ORD00652"/>
    <s v="2025-11-01"/>
    <x v="1"/>
    <x v="5"/>
    <x v="0"/>
    <x v="651"/>
    <n v="1422.6"/>
    <n v="15"/>
    <n v="3778.77"/>
    <x v="6"/>
    <n v="0.72649513493560347"/>
  </r>
  <r>
    <s v="ORD00653"/>
    <s v="2025-09-13"/>
    <x v="3"/>
    <x v="4"/>
    <x v="2"/>
    <x v="652"/>
    <n v="3605.8"/>
    <n v="10"/>
    <n v="23371.77"/>
    <x v="3"/>
    <n v="0.86634081572209809"/>
  </r>
  <r>
    <s v="ORD00654"/>
    <s v="2025-07-09"/>
    <x v="2"/>
    <x v="4"/>
    <x v="0"/>
    <x v="653"/>
    <n v="8143"/>
    <n v="11"/>
    <n v="20274.89"/>
    <x v="2"/>
    <n v="0.71345515096300249"/>
  </r>
  <r>
    <s v="ORD00655"/>
    <s v="2025-08-05"/>
    <x v="0"/>
    <x v="0"/>
    <x v="1"/>
    <x v="654"/>
    <n v="1231.6500000000001"/>
    <n v="9"/>
    <n v="16081.590000000002"/>
    <x v="0"/>
    <n v="0.9288608024841104"/>
  </r>
  <r>
    <s v="ORD00656"/>
    <s v="2025-03-24"/>
    <x v="3"/>
    <x v="5"/>
    <x v="0"/>
    <x v="655"/>
    <n v="5193.6499999999996"/>
    <n v="2"/>
    <n v="34309.99"/>
    <x v="9"/>
    <n v="0.86852730533186306"/>
  </r>
  <r>
    <s v="ORD00657"/>
    <s v="2025-04-27"/>
    <x v="1"/>
    <x v="1"/>
    <x v="0"/>
    <x v="656"/>
    <n v="3077.2"/>
    <n v="15"/>
    <n v="28242.739999999998"/>
    <x v="1"/>
    <n v="0.90174949249583491"/>
  </r>
  <r>
    <s v="ORD00658"/>
    <s v="2025-03-09"/>
    <x v="3"/>
    <x v="1"/>
    <x v="0"/>
    <x v="657"/>
    <n v="218.17"/>
    <n v="20"/>
    <n v="1099.1799999999998"/>
    <x v="9"/>
    <n v="0.83438721676092154"/>
  </r>
  <r>
    <s v="ORD00659"/>
    <s v="2025-11-13"/>
    <x v="2"/>
    <x v="3"/>
    <x v="0"/>
    <x v="658"/>
    <n v="298.70999999999998"/>
    <n v="15"/>
    <n v="697.63000000000011"/>
    <x v="6"/>
    <n v="0.70019270530140321"/>
  </r>
  <r>
    <s v="ORD00660"/>
    <s v="2025-02-04"/>
    <x v="0"/>
    <x v="0"/>
    <x v="1"/>
    <x v="659"/>
    <n v="4012.22"/>
    <n v="8"/>
    <n v="14516.640000000001"/>
    <x v="10"/>
    <n v="0.7834610440145805"/>
  </r>
  <r>
    <s v="ORD00661"/>
    <s v="2025-06-09"/>
    <x v="2"/>
    <x v="3"/>
    <x v="2"/>
    <x v="660"/>
    <n v="8826"/>
    <n v="5"/>
    <n v="22680.9"/>
    <x v="4"/>
    <n v="0.71987088542509736"/>
  </r>
  <r>
    <s v="ORD00662"/>
    <s v="2025-01-01"/>
    <x v="3"/>
    <x v="1"/>
    <x v="1"/>
    <x v="661"/>
    <n v="11003.62"/>
    <n v="8"/>
    <n v="33459.279999999999"/>
    <x v="8"/>
    <n v="0.7525213155237287"/>
  </r>
  <r>
    <s v="ORD00663"/>
    <s v="2025-05-03"/>
    <x v="1"/>
    <x v="2"/>
    <x v="0"/>
    <x v="662"/>
    <n v="3079.09"/>
    <n v="1"/>
    <n v="11853.43"/>
    <x v="7"/>
    <n v="0.79379970694832491"/>
  </r>
  <r>
    <s v="ORD00664"/>
    <s v="2025-08-12"/>
    <x v="1"/>
    <x v="2"/>
    <x v="0"/>
    <x v="663"/>
    <n v="773.15"/>
    <n v="1"/>
    <n v="6894.31"/>
    <x v="0"/>
    <n v="0.89916478207907191"/>
  </r>
  <r>
    <s v="ORD00665"/>
    <s v="2025-05-12"/>
    <x v="3"/>
    <x v="3"/>
    <x v="1"/>
    <x v="664"/>
    <n v="5090.18"/>
    <n v="6"/>
    <n v="32913.919999999998"/>
    <x v="7"/>
    <n v="0.86606234590478393"/>
  </r>
  <r>
    <s v="ORD00666"/>
    <s v="2025-12-23"/>
    <x v="3"/>
    <x v="2"/>
    <x v="2"/>
    <x v="665"/>
    <n v="6962.86"/>
    <n v="7"/>
    <n v="28598.65"/>
    <x v="11"/>
    <n v="0.80420235248728189"/>
  </r>
  <r>
    <s v="ORD00667"/>
    <s v="2025-08-02"/>
    <x v="2"/>
    <x v="3"/>
    <x v="2"/>
    <x v="666"/>
    <n v="1276.04"/>
    <n v="15"/>
    <n v="18575.36"/>
    <x v="0"/>
    <n v="0.935720402591253"/>
  </r>
  <r>
    <s v="ORD00668"/>
    <s v="2025-02-22"/>
    <x v="3"/>
    <x v="5"/>
    <x v="2"/>
    <x v="667"/>
    <n v="9883.51"/>
    <n v="10"/>
    <n v="39521.82"/>
    <x v="10"/>
    <n v="0.79995053165316365"/>
  </r>
  <r>
    <s v="ORD00669"/>
    <s v="2025-07-06"/>
    <x v="1"/>
    <x v="0"/>
    <x v="0"/>
    <x v="668"/>
    <n v="2819.65"/>
    <n v="15"/>
    <n v="9870.7100000000009"/>
    <x v="2"/>
    <n v="0.77781166176530847"/>
  </r>
  <r>
    <s v="ORD00670"/>
    <s v="2025-04-04"/>
    <x v="3"/>
    <x v="4"/>
    <x v="0"/>
    <x v="669"/>
    <n v="12240.96"/>
    <n v="13"/>
    <n v="35000.93"/>
    <x v="1"/>
    <n v="0.74088758938306665"/>
  </r>
  <r>
    <s v="ORD00671"/>
    <s v="2025-08-30"/>
    <x v="1"/>
    <x v="2"/>
    <x v="1"/>
    <x v="670"/>
    <n v="9817.4"/>
    <n v="5"/>
    <n v="28847.4"/>
    <x v="0"/>
    <n v="0.74608946638803253"/>
  </r>
  <r>
    <s v="ORD00672"/>
    <s v="2025-06-02"/>
    <x v="2"/>
    <x v="1"/>
    <x v="0"/>
    <x v="671"/>
    <n v="1537.64"/>
    <n v="4"/>
    <n v="7905.6799999999994"/>
    <x v="4"/>
    <n v="0.8371716726744407"/>
  </r>
  <r>
    <s v="ORD00673"/>
    <s v="2025-08-08"/>
    <x v="3"/>
    <x v="5"/>
    <x v="0"/>
    <x v="672"/>
    <n v="13526.61"/>
    <n v="1"/>
    <n v="35561.379999999997"/>
    <x v="0"/>
    <n v="0.7244415589230685"/>
  </r>
  <r>
    <s v="ORD00674"/>
    <s v="2025-11-15"/>
    <x v="2"/>
    <x v="4"/>
    <x v="0"/>
    <x v="673"/>
    <n v="3215.89"/>
    <n v="2"/>
    <n v="14727.119999999999"/>
    <x v="6"/>
    <n v="0.8207719886462751"/>
  </r>
  <r>
    <s v="ORD00675"/>
    <s v="2025-04-30"/>
    <x v="2"/>
    <x v="4"/>
    <x v="0"/>
    <x v="674"/>
    <n v="2367.54"/>
    <n v="20"/>
    <n v="35229.229999999996"/>
    <x v="1"/>
    <n v="0.93702810108421541"/>
  </r>
  <r>
    <s v="ORD00676"/>
    <s v="2025-09-10"/>
    <x v="3"/>
    <x v="4"/>
    <x v="0"/>
    <x v="675"/>
    <n v="2921.32"/>
    <n v="18"/>
    <n v="12577.960000000001"/>
    <x v="3"/>
    <n v="0.81151898668841393"/>
  </r>
  <r>
    <s v="ORD00677"/>
    <s v="2025-06-19"/>
    <x v="2"/>
    <x v="5"/>
    <x v="1"/>
    <x v="676"/>
    <n v="181.61"/>
    <n v="6"/>
    <n v="2232.66"/>
    <x v="4"/>
    <n v="0.92477643345607574"/>
  </r>
  <r>
    <s v="ORD00678"/>
    <s v="2025-06-08"/>
    <x v="2"/>
    <x v="5"/>
    <x v="1"/>
    <x v="677"/>
    <n v="603.03"/>
    <n v="14"/>
    <n v="10635.01"/>
    <x v="4"/>
    <n v="0.94634028709632634"/>
  </r>
  <r>
    <s v="ORD00679"/>
    <s v="2025-06-08"/>
    <x v="3"/>
    <x v="3"/>
    <x v="2"/>
    <x v="678"/>
    <n v="3265.28"/>
    <n v="18"/>
    <n v="32227.989999999998"/>
    <x v="4"/>
    <n v="0.90800284110198926"/>
  </r>
  <r>
    <s v="ORD00680"/>
    <s v="2025-04-18"/>
    <x v="0"/>
    <x v="4"/>
    <x v="1"/>
    <x v="679"/>
    <n v="2646.13"/>
    <n v="20"/>
    <n v="14750.939999999999"/>
    <x v="1"/>
    <n v="0.84789795063191664"/>
  </r>
  <r>
    <s v="ORD00681"/>
    <s v="2025-01-30"/>
    <x v="2"/>
    <x v="0"/>
    <x v="0"/>
    <x v="680"/>
    <n v="4296.7"/>
    <n v="20"/>
    <n v="19224.03"/>
    <x v="8"/>
    <n v="0.81732284669736011"/>
  </r>
  <r>
    <s v="ORD00682"/>
    <s v="2025-07-24"/>
    <x v="0"/>
    <x v="4"/>
    <x v="0"/>
    <x v="681"/>
    <n v="238.82"/>
    <n v="6"/>
    <n v="1695.98"/>
    <x v="2"/>
    <n v="0.87656605333884641"/>
  </r>
  <r>
    <s v="ORD00683"/>
    <s v="2025-03-24"/>
    <x v="1"/>
    <x v="1"/>
    <x v="2"/>
    <x v="682"/>
    <n v="4574.8500000000004"/>
    <n v="11"/>
    <n v="23364.550000000003"/>
    <x v="9"/>
    <n v="0.83625811577915066"/>
  </r>
  <r>
    <s v="ORD00684"/>
    <s v="2025-11-20"/>
    <x v="2"/>
    <x v="0"/>
    <x v="0"/>
    <x v="683"/>
    <n v="1505.8"/>
    <n v="14"/>
    <n v="25470.09"/>
    <x v="6"/>
    <n v="0.94417978424437532"/>
  </r>
  <r>
    <s v="ORD00685"/>
    <s v="2025-12-27"/>
    <x v="0"/>
    <x v="1"/>
    <x v="2"/>
    <x v="684"/>
    <n v="2522.88"/>
    <n v="1"/>
    <n v="6029.1500000000005"/>
    <x v="11"/>
    <n v="0.70499635758995238"/>
  </r>
  <r>
    <s v="ORD00686"/>
    <s v="2025-03-14"/>
    <x v="2"/>
    <x v="1"/>
    <x v="1"/>
    <x v="685"/>
    <n v="1669.22"/>
    <n v="3"/>
    <n v="25654.809999999998"/>
    <x v="9"/>
    <n v="0.93891018272194837"/>
  </r>
  <r>
    <s v="ORD00687"/>
    <s v="2025-10-20"/>
    <x v="3"/>
    <x v="5"/>
    <x v="1"/>
    <x v="686"/>
    <n v="629.64"/>
    <n v="13"/>
    <n v="1744.13"/>
    <x v="5"/>
    <n v="0.73475105001748275"/>
  </r>
  <r>
    <s v="ORD00688"/>
    <s v="2025-08-14"/>
    <x v="0"/>
    <x v="3"/>
    <x v="0"/>
    <x v="687"/>
    <n v="1514.77"/>
    <n v="20"/>
    <n v="5784.6299999999992"/>
    <x v="0"/>
    <n v="0.79248020385237139"/>
  </r>
  <r>
    <s v="ORD00689"/>
    <s v="2025-09-12"/>
    <x v="2"/>
    <x v="2"/>
    <x v="1"/>
    <x v="688"/>
    <n v="7717.59"/>
    <n v="10"/>
    <n v="19505.72"/>
    <x v="3"/>
    <n v="0.71650802198557051"/>
  </r>
  <r>
    <s v="ORD00690"/>
    <s v="2025-12-04"/>
    <x v="3"/>
    <x v="5"/>
    <x v="0"/>
    <x v="689"/>
    <n v="3441.66"/>
    <n v="20"/>
    <n v="12781.76"/>
    <x v="11"/>
    <n v="0.78785854030777724"/>
  </r>
  <r>
    <s v="ORD00691"/>
    <s v="2025-01-06"/>
    <x v="3"/>
    <x v="5"/>
    <x v="2"/>
    <x v="690"/>
    <n v="4105.92"/>
    <n v="8"/>
    <n v="29764.130000000005"/>
    <x v="8"/>
    <n v="0.87877431536121153"/>
  </r>
  <r>
    <s v="ORD00692"/>
    <s v="2025-10-08"/>
    <x v="0"/>
    <x v="3"/>
    <x v="2"/>
    <x v="691"/>
    <n v="4043.19"/>
    <n v="7"/>
    <n v="10252.35"/>
    <x v="5"/>
    <n v="0.71717122962826163"/>
  </r>
  <r>
    <s v="ORD00693"/>
    <s v="2025-08-09"/>
    <x v="3"/>
    <x v="5"/>
    <x v="1"/>
    <x v="692"/>
    <n v="754.59"/>
    <n v="15"/>
    <n v="6798.87"/>
    <x v="0"/>
    <n v="0.90010008658283747"/>
  </r>
  <r>
    <s v="ORD00694"/>
    <s v="2025-01-09"/>
    <x v="1"/>
    <x v="5"/>
    <x v="2"/>
    <x v="693"/>
    <n v="3052.91"/>
    <n v="10"/>
    <n v="13458.330000000002"/>
    <x v="8"/>
    <n v="0.81510110688234194"/>
  </r>
  <r>
    <s v="ORD00695"/>
    <s v="2025-02-06"/>
    <x v="3"/>
    <x v="5"/>
    <x v="1"/>
    <x v="694"/>
    <n v="1151.8"/>
    <n v="18"/>
    <n v="16183.940000000002"/>
    <x v="10"/>
    <n v="0.93355922504606093"/>
  </r>
  <r>
    <s v="ORD00696"/>
    <s v="2025-12-29"/>
    <x v="0"/>
    <x v="4"/>
    <x v="1"/>
    <x v="695"/>
    <n v="10314.09"/>
    <n v="14"/>
    <n v="25044.02"/>
    <x v="11"/>
    <n v="0.70829634276266462"/>
  </r>
  <r>
    <s v="ORD00697"/>
    <s v="2025-01-15"/>
    <x v="0"/>
    <x v="1"/>
    <x v="2"/>
    <x v="696"/>
    <n v="4664.29"/>
    <n v="3"/>
    <n v="43738"/>
    <x v="8"/>
    <n v="0.90363493132246431"/>
  </r>
  <r>
    <s v="ORD00698"/>
    <s v="2025-09-11"/>
    <x v="3"/>
    <x v="5"/>
    <x v="0"/>
    <x v="697"/>
    <n v="8259.98"/>
    <n v="6"/>
    <n v="32065.100000000002"/>
    <x v="3"/>
    <n v="0.79516519248070927"/>
  </r>
  <r>
    <s v="ORD00699"/>
    <s v="2025-07-31"/>
    <x v="2"/>
    <x v="3"/>
    <x v="1"/>
    <x v="698"/>
    <n v="5731.95"/>
    <n v="18"/>
    <n v="26614.7"/>
    <x v="2"/>
    <n v="0.82279617827503004"/>
  </r>
  <r>
    <s v="ORD00700"/>
    <s v="2025-11-11"/>
    <x v="2"/>
    <x v="5"/>
    <x v="1"/>
    <x v="699"/>
    <n v="2546.16"/>
    <n v="17"/>
    <n v="7588.33"/>
    <x v="6"/>
    <n v="0.74876288792035905"/>
  </r>
  <r>
    <s v="ORD00701"/>
    <s v="2025-03-22"/>
    <x v="2"/>
    <x v="5"/>
    <x v="0"/>
    <x v="700"/>
    <n v="7695.24"/>
    <n v="11"/>
    <n v="23918.21"/>
    <x v="9"/>
    <n v="0.75658335297159907"/>
  </r>
  <r>
    <s v="ORD00702"/>
    <s v="2025-07-26"/>
    <x v="2"/>
    <x v="1"/>
    <x v="1"/>
    <x v="701"/>
    <n v="3866.04"/>
    <n v="20"/>
    <n v="39597.360000000001"/>
    <x v="2"/>
    <n v="0.91105067712144006"/>
  </r>
  <r>
    <s v="ORD00703"/>
    <s v="2025-11-16"/>
    <x v="1"/>
    <x v="4"/>
    <x v="1"/>
    <x v="702"/>
    <n v="4999.58"/>
    <n v="4"/>
    <n v="17230.580000000002"/>
    <x v="6"/>
    <n v="0.77509923455341756"/>
  </r>
  <r>
    <s v="ORD00704"/>
    <s v="2025-09-16"/>
    <x v="0"/>
    <x v="2"/>
    <x v="2"/>
    <x v="703"/>
    <n v="11472.18"/>
    <n v="1"/>
    <n v="38332.97"/>
    <x v="3"/>
    <n v="0.76965876018845436"/>
  </r>
  <r>
    <s v="ORD00705"/>
    <s v="2025-04-24"/>
    <x v="2"/>
    <x v="2"/>
    <x v="0"/>
    <x v="704"/>
    <n v="7409.07"/>
    <n v="10"/>
    <n v="29422.46"/>
    <x v="1"/>
    <n v="0.79883892958017222"/>
  </r>
  <r>
    <s v="ORD00706"/>
    <s v="2025-05-31"/>
    <x v="2"/>
    <x v="0"/>
    <x v="1"/>
    <x v="705"/>
    <n v="11482.09"/>
    <n v="6"/>
    <n v="32283.030000000002"/>
    <x v="7"/>
    <n v="0.7376428991854701"/>
  </r>
  <r>
    <s v="ORD00707"/>
    <s v="2025-11-12"/>
    <x v="2"/>
    <x v="5"/>
    <x v="0"/>
    <x v="706"/>
    <n v="2379.83"/>
    <n v="11"/>
    <n v="6868.7999999999993"/>
    <x v="6"/>
    <n v="0.74268297034263453"/>
  </r>
  <r>
    <s v="ORD00708"/>
    <s v="2025-05-13"/>
    <x v="3"/>
    <x v="2"/>
    <x v="2"/>
    <x v="707"/>
    <n v="7737.05"/>
    <n v="9"/>
    <n v="24012.66"/>
    <x v="7"/>
    <n v="0.7563111600074458"/>
  </r>
  <r>
    <s v="ORD00709"/>
    <s v="2025-11-05"/>
    <x v="1"/>
    <x v="1"/>
    <x v="1"/>
    <x v="708"/>
    <n v="738.03"/>
    <n v="12"/>
    <n v="4152.6900000000005"/>
    <x v="6"/>
    <n v="0.84909583864952409"/>
  </r>
  <r>
    <s v="ORD00710"/>
    <s v="2025-03-16"/>
    <x v="3"/>
    <x v="2"/>
    <x v="1"/>
    <x v="709"/>
    <n v="320.62"/>
    <n v="15"/>
    <n v="1326.1100000000001"/>
    <x v="9"/>
    <n v="0.80529898647622866"/>
  </r>
  <r>
    <s v="ORD00711"/>
    <s v="2025-06-17"/>
    <x v="3"/>
    <x v="1"/>
    <x v="1"/>
    <x v="710"/>
    <n v="13347.72"/>
    <n v="3"/>
    <n v="35850.409999999996"/>
    <x v="4"/>
    <n v="0.72869456623656226"/>
  </r>
  <r>
    <s v="ORD00712"/>
    <s v="2025-01-19"/>
    <x v="2"/>
    <x v="1"/>
    <x v="1"/>
    <x v="711"/>
    <n v="4703.91"/>
    <n v="6"/>
    <n v="14472.8"/>
    <x v="8"/>
    <n v="0.75470714215316392"/>
  </r>
  <r>
    <s v="ORD00713"/>
    <s v="2025-11-20"/>
    <x v="0"/>
    <x v="4"/>
    <x v="1"/>
    <x v="712"/>
    <n v="1256.31"/>
    <n v="19"/>
    <n v="11892.12"/>
    <x v="6"/>
    <n v="0.90445171020418413"/>
  </r>
  <r>
    <s v="ORD00714"/>
    <s v="2025-10-23"/>
    <x v="0"/>
    <x v="1"/>
    <x v="2"/>
    <x v="713"/>
    <n v="707.52"/>
    <n v="5"/>
    <n v="8522.7899999999991"/>
    <x v="5"/>
    <n v="0.9233481865722819"/>
  </r>
  <r>
    <s v="ORD00715"/>
    <s v="2025-06-30"/>
    <x v="0"/>
    <x v="4"/>
    <x v="0"/>
    <x v="714"/>
    <n v="2095.8200000000002"/>
    <n v="5"/>
    <n v="12980.23"/>
    <x v="4"/>
    <n v="0.86098348042093253"/>
  </r>
  <r>
    <s v="ORD00716"/>
    <s v="2025-10-22"/>
    <x v="3"/>
    <x v="2"/>
    <x v="1"/>
    <x v="715"/>
    <n v="422.57"/>
    <n v="20"/>
    <n v="7715.6900000000005"/>
    <x v="5"/>
    <n v="0.9480761243803959"/>
  </r>
  <r>
    <s v="ORD00717"/>
    <s v="2025-01-14"/>
    <x v="3"/>
    <x v="1"/>
    <x v="1"/>
    <x v="716"/>
    <n v="8261.44"/>
    <n v="17"/>
    <n v="29216.699999999997"/>
    <x v="8"/>
    <n v="0.77956643526066116"/>
  </r>
  <r>
    <s v="ORD00718"/>
    <s v="2025-11-14"/>
    <x v="0"/>
    <x v="3"/>
    <x v="0"/>
    <x v="717"/>
    <n v="12017.24"/>
    <n v="4"/>
    <n v="33491.82"/>
    <x v="6"/>
    <n v="0.73593741553879599"/>
  </r>
  <r>
    <s v="ORD00719"/>
    <s v="2025-02-25"/>
    <x v="0"/>
    <x v="0"/>
    <x v="0"/>
    <x v="718"/>
    <n v="7267.65"/>
    <n v="12"/>
    <n v="19369.32"/>
    <x v="10"/>
    <n v="0.72715928275625941"/>
  </r>
  <r>
    <s v="ORD00720"/>
    <s v="2025-02-04"/>
    <x v="0"/>
    <x v="5"/>
    <x v="2"/>
    <x v="719"/>
    <n v="2012.86"/>
    <n v="14"/>
    <n v="8377.9599999999991"/>
    <x v="10"/>
    <n v="0.80628477829468703"/>
  </r>
  <r>
    <s v="ORD00721"/>
    <s v="2025-07-12"/>
    <x v="3"/>
    <x v="4"/>
    <x v="2"/>
    <x v="720"/>
    <n v="1933.91"/>
    <n v="1"/>
    <n v="21444.95"/>
    <x v="2"/>
    <n v="0.91727954228734854"/>
  </r>
  <r>
    <s v="ORD00722"/>
    <s v="2025-05-20"/>
    <x v="2"/>
    <x v="0"/>
    <x v="0"/>
    <x v="721"/>
    <n v="7999.34"/>
    <n v="13"/>
    <n v="40847.149999999994"/>
    <x v="7"/>
    <n v="0.83623511126387984"/>
  </r>
  <r>
    <s v="ORD00723"/>
    <s v="2025-10-15"/>
    <x v="1"/>
    <x v="4"/>
    <x v="0"/>
    <x v="722"/>
    <n v="1655.02"/>
    <n v="11"/>
    <n v="28201.03"/>
    <x v="5"/>
    <n v="0.94456667911528813"/>
  </r>
  <r>
    <s v="ORD00724"/>
    <s v="2025-03-14"/>
    <x v="3"/>
    <x v="1"/>
    <x v="2"/>
    <x v="723"/>
    <n v="1737.84"/>
    <n v="14"/>
    <n v="28110.26"/>
    <x v="9"/>
    <n v="0.94177719854865138"/>
  </r>
  <r>
    <s v="ORD00725"/>
    <s v="2025-09-27"/>
    <x v="1"/>
    <x v="5"/>
    <x v="1"/>
    <x v="724"/>
    <n v="1630.95"/>
    <n v="18"/>
    <n v="11376.47"/>
    <x v="3"/>
    <n v="0.8746138742348597"/>
  </r>
  <r>
    <s v="ORD00726"/>
    <s v="2025-11-09"/>
    <x v="1"/>
    <x v="2"/>
    <x v="0"/>
    <x v="725"/>
    <n v="2266.4899999999998"/>
    <n v="2"/>
    <n v="28913.199999999997"/>
    <x v="6"/>
    <n v="0.9273087705490336"/>
  </r>
  <r>
    <s v="ORD00727"/>
    <s v="2025-07-14"/>
    <x v="0"/>
    <x v="5"/>
    <x v="0"/>
    <x v="726"/>
    <n v="297.93"/>
    <n v="18"/>
    <n v="3642.38"/>
    <x v="2"/>
    <n v="0.92438919780423368"/>
  </r>
  <r>
    <s v="ORD00728"/>
    <s v="2025-04-28"/>
    <x v="0"/>
    <x v="1"/>
    <x v="0"/>
    <x v="727"/>
    <n v="879.14"/>
    <n v="6"/>
    <n v="6237.79"/>
    <x v="1"/>
    <n v="0.8764720181314134"/>
  </r>
  <r>
    <s v="ORD00729"/>
    <s v="2025-02-01"/>
    <x v="1"/>
    <x v="1"/>
    <x v="2"/>
    <x v="728"/>
    <n v="890.93"/>
    <n v="17"/>
    <n v="5327.0599999999995"/>
    <x v="10"/>
    <n v="0.85671736364966811"/>
  </r>
  <r>
    <s v="ORD00730"/>
    <s v="2025-03-16"/>
    <x v="2"/>
    <x v="3"/>
    <x v="0"/>
    <x v="729"/>
    <n v="5704.77"/>
    <n v="18"/>
    <n v="43730.899999999994"/>
    <x v="9"/>
    <n v="0.88460215063333814"/>
  </r>
  <r>
    <s v="ORD00731"/>
    <s v="2025-01-21"/>
    <x v="1"/>
    <x v="0"/>
    <x v="0"/>
    <x v="730"/>
    <n v="9209.1"/>
    <n v="4"/>
    <n v="31726.980000000003"/>
    <x v="8"/>
    <n v="0.77503708220230183"/>
  </r>
  <r>
    <s v="ORD00732"/>
    <s v="2025-06-12"/>
    <x v="3"/>
    <x v="1"/>
    <x v="2"/>
    <x v="731"/>
    <n v="1975.51"/>
    <n v="3"/>
    <n v="12347.48"/>
    <x v="4"/>
    <n v="0.86207418981651174"/>
  </r>
  <r>
    <s v="ORD00733"/>
    <s v="2025-02-22"/>
    <x v="3"/>
    <x v="3"/>
    <x v="1"/>
    <x v="732"/>
    <n v="9703.2999999999993"/>
    <n v="15"/>
    <n v="30954.399999999998"/>
    <x v="10"/>
    <n v="0.76134164008293637"/>
  </r>
  <r>
    <s v="ORD00734"/>
    <s v="2025-03-11"/>
    <x v="2"/>
    <x v="1"/>
    <x v="0"/>
    <x v="733"/>
    <n v="10960.51"/>
    <n v="9"/>
    <n v="28701.739999999998"/>
    <x v="9"/>
    <n v="0.72365385221463729"/>
  </r>
  <r>
    <s v="ORD00735"/>
    <s v="2025-07-29"/>
    <x v="2"/>
    <x v="5"/>
    <x v="2"/>
    <x v="734"/>
    <n v="3105.41"/>
    <n v="12"/>
    <n v="11758.53"/>
    <x v="2"/>
    <n v="0.79107760122820736"/>
  </r>
  <r>
    <s v="ORD00736"/>
    <s v="2025-07-16"/>
    <x v="2"/>
    <x v="5"/>
    <x v="2"/>
    <x v="735"/>
    <n v="11956.23"/>
    <n v="2"/>
    <n v="37667.380000000005"/>
    <x v="2"/>
    <n v="0.75906166439724965"/>
  </r>
  <r>
    <s v="ORD00737"/>
    <s v="2025-09-10"/>
    <x v="2"/>
    <x v="1"/>
    <x v="1"/>
    <x v="736"/>
    <n v="8188.02"/>
    <n v="8"/>
    <n v="19801.53"/>
    <x v="3"/>
    <n v="0.70746153475136253"/>
  </r>
  <r>
    <s v="ORD00738"/>
    <s v="2025-01-18"/>
    <x v="0"/>
    <x v="2"/>
    <x v="1"/>
    <x v="737"/>
    <n v="3644.35"/>
    <n v="20"/>
    <n v="17120.100000000002"/>
    <x v="8"/>
    <n v="0.82449089670085174"/>
  </r>
  <r>
    <s v="ORD00739"/>
    <s v="2025-03-07"/>
    <x v="3"/>
    <x v="1"/>
    <x v="2"/>
    <x v="738"/>
    <n v="11293.47"/>
    <n v="10"/>
    <n v="34536.32"/>
    <x v="9"/>
    <n v="0.75357796751850703"/>
  </r>
  <r>
    <s v="ORD00740"/>
    <s v="2025-01-12"/>
    <x v="1"/>
    <x v="0"/>
    <x v="0"/>
    <x v="739"/>
    <n v="8039.81"/>
    <n v="16"/>
    <n v="20502"/>
    <x v="8"/>
    <n v="0.71831464087246044"/>
  </r>
  <r>
    <s v="ORD00741"/>
    <s v="2025-10-31"/>
    <x v="2"/>
    <x v="3"/>
    <x v="0"/>
    <x v="740"/>
    <n v="3995.66"/>
    <n v="11"/>
    <n v="17104.72"/>
    <x v="5"/>
    <n v="0.81063563784159343"/>
  </r>
  <r>
    <s v="ORD00742"/>
    <s v="2025-07-01"/>
    <x v="3"/>
    <x v="2"/>
    <x v="2"/>
    <x v="741"/>
    <n v="2035.37"/>
    <n v="18"/>
    <n v="9392.869999999999"/>
    <x v="2"/>
    <n v="0.82189996009884281"/>
  </r>
  <r>
    <s v="ORD00743"/>
    <s v="2025-09-21"/>
    <x v="0"/>
    <x v="1"/>
    <x v="0"/>
    <x v="742"/>
    <n v="5808.83"/>
    <n v="10"/>
    <n v="17527.449999999997"/>
    <x v="3"/>
    <n v="0.75108157769790207"/>
  </r>
  <r>
    <s v="ORD00744"/>
    <s v="2025-12-02"/>
    <x v="3"/>
    <x v="2"/>
    <x v="0"/>
    <x v="743"/>
    <n v="9936.61"/>
    <n v="14"/>
    <n v="26992.21"/>
    <x v="11"/>
    <n v="0.73092533148906458"/>
  </r>
  <r>
    <s v="ORD00745"/>
    <s v="2025-04-23"/>
    <x v="0"/>
    <x v="0"/>
    <x v="1"/>
    <x v="744"/>
    <n v="9757.32"/>
    <n v="6"/>
    <n v="25734.39"/>
    <x v="1"/>
    <n v="0.72508171626557305"/>
  </r>
  <r>
    <s v="ORD00746"/>
    <s v="2025-01-15"/>
    <x v="0"/>
    <x v="4"/>
    <x v="0"/>
    <x v="745"/>
    <n v="3729.74"/>
    <n v="2"/>
    <n v="9932.0400000000009"/>
    <x v="8"/>
    <n v="0.72699457903728504"/>
  </r>
  <r>
    <s v="ORD00747"/>
    <s v="2025-02-07"/>
    <x v="2"/>
    <x v="0"/>
    <x v="2"/>
    <x v="746"/>
    <n v="6503.8"/>
    <n v="15"/>
    <n v="16640.100000000002"/>
    <x v="10"/>
    <n v="0.71898426799286208"/>
  </r>
  <r>
    <s v="ORD00748"/>
    <s v="2025-12-16"/>
    <x v="2"/>
    <x v="5"/>
    <x v="1"/>
    <x v="747"/>
    <n v="3380.44"/>
    <n v="8"/>
    <n v="46607.149999999994"/>
    <x v="11"/>
    <n v="0.93237441532988485"/>
  </r>
  <r>
    <s v="ORD00749"/>
    <s v="2026-01-01"/>
    <x v="3"/>
    <x v="2"/>
    <x v="0"/>
    <x v="748"/>
    <n v="2740.77"/>
    <n v="19"/>
    <n v="10676.06"/>
    <x v="8"/>
    <n v="0.79572149307995999"/>
  </r>
  <r>
    <s v="ORD00750"/>
    <s v="2025-03-03"/>
    <x v="0"/>
    <x v="2"/>
    <x v="2"/>
    <x v="749"/>
    <n v="1247.5"/>
    <n v="8"/>
    <n v="5041.1000000000004"/>
    <x v="9"/>
    <n v="0.80162516299335307"/>
  </r>
  <r>
    <s v="ORD00751"/>
    <s v="2025-03-23"/>
    <x v="3"/>
    <x v="4"/>
    <x v="0"/>
    <x v="750"/>
    <n v="1539.46"/>
    <n v="8"/>
    <n v="27749.260000000002"/>
    <x v="9"/>
    <n v="0.94743846777872165"/>
  </r>
  <r>
    <s v="ORD00752"/>
    <s v="2025-09-28"/>
    <x v="1"/>
    <x v="1"/>
    <x v="2"/>
    <x v="751"/>
    <n v="1925.31"/>
    <n v="14"/>
    <n v="33077.11"/>
    <x v="3"/>
    <n v="0.94499494606372936"/>
  </r>
  <r>
    <s v="ORD00753"/>
    <s v="2025-11-21"/>
    <x v="3"/>
    <x v="4"/>
    <x v="1"/>
    <x v="752"/>
    <n v="4804.8900000000003"/>
    <n v="16"/>
    <n v="14978.21"/>
    <x v="6"/>
    <n v="0.75712148247746813"/>
  </r>
  <r>
    <s v="ORD00754"/>
    <s v="2025-04-06"/>
    <x v="0"/>
    <x v="3"/>
    <x v="0"/>
    <x v="753"/>
    <n v="556.84"/>
    <n v="13"/>
    <n v="4518.2699999999995"/>
    <x v="1"/>
    <n v="0.89028021067523655"/>
  </r>
  <r>
    <s v="ORD00755"/>
    <s v="2025-01-25"/>
    <x v="0"/>
    <x v="5"/>
    <x v="1"/>
    <x v="754"/>
    <n v="10664.32"/>
    <n v="5"/>
    <n v="25907.68"/>
    <x v="8"/>
    <n v="0.70840205621787156"/>
  </r>
  <r>
    <s v="ORD00756"/>
    <s v="2025-02-11"/>
    <x v="1"/>
    <x v="2"/>
    <x v="1"/>
    <x v="755"/>
    <n v="412.86"/>
    <n v="15"/>
    <n v="3377.31"/>
    <x v="10"/>
    <n v="0.89107084906481759"/>
  </r>
  <r>
    <s v="ORD00757"/>
    <s v="2025-02-06"/>
    <x v="1"/>
    <x v="3"/>
    <x v="2"/>
    <x v="756"/>
    <n v="6447.98"/>
    <n v="13"/>
    <n v="42055.520000000004"/>
    <x v="10"/>
    <n v="0.86706155225911541"/>
  </r>
  <r>
    <s v="ORD00758"/>
    <s v="2025-10-06"/>
    <x v="1"/>
    <x v="0"/>
    <x v="1"/>
    <x v="757"/>
    <n v="9357.0300000000007"/>
    <n v="15"/>
    <n v="22346.92"/>
    <x v="5"/>
    <n v="0.7048623278802798"/>
  </r>
  <r>
    <s v="ORD00759"/>
    <s v="2025-06-20"/>
    <x v="1"/>
    <x v="2"/>
    <x v="1"/>
    <x v="758"/>
    <n v="3323.46"/>
    <n v="19"/>
    <n v="30250.17"/>
    <x v="4"/>
    <n v="0.90100981037796635"/>
  </r>
  <r>
    <s v="ORD00760"/>
    <s v="2025-01-10"/>
    <x v="1"/>
    <x v="0"/>
    <x v="0"/>
    <x v="759"/>
    <n v="6676.12"/>
    <n v="6"/>
    <n v="18167.490000000002"/>
    <x v="8"/>
    <n v="0.73127415862670531"/>
  </r>
  <r>
    <s v="ORD00761"/>
    <s v="2025-03-19"/>
    <x v="3"/>
    <x v="3"/>
    <x v="1"/>
    <x v="760"/>
    <n v="1634.98"/>
    <n v="13"/>
    <n v="17804.010000000002"/>
    <x v="9"/>
    <n v="0.91589172071182712"/>
  </r>
  <r>
    <s v="ORD00762"/>
    <s v="2025-08-05"/>
    <x v="1"/>
    <x v="3"/>
    <x v="2"/>
    <x v="761"/>
    <n v="2084.27"/>
    <n v="19"/>
    <n v="16514.27"/>
    <x v="0"/>
    <n v="0.88793367651439303"/>
  </r>
  <r>
    <s v="ORD00763"/>
    <s v="2025-11-02"/>
    <x v="0"/>
    <x v="5"/>
    <x v="0"/>
    <x v="762"/>
    <n v="10254.48"/>
    <n v="6"/>
    <n v="25223.13"/>
    <x v="6"/>
    <n v="0.71095910913953897"/>
  </r>
  <r>
    <s v="ORD00764"/>
    <s v="2025-07-15"/>
    <x v="3"/>
    <x v="4"/>
    <x v="1"/>
    <x v="763"/>
    <n v="2112.54"/>
    <n v="18"/>
    <n v="5483.08"/>
    <x v="2"/>
    <n v="0.72187392207614387"/>
  </r>
  <r>
    <s v="ORD00765"/>
    <s v="2025-04-22"/>
    <x v="2"/>
    <x v="5"/>
    <x v="0"/>
    <x v="764"/>
    <n v="2678.63"/>
    <n v="15"/>
    <n v="10328.36"/>
    <x v="1"/>
    <n v="0.79406226959504089"/>
  </r>
  <r>
    <s v="ORD00766"/>
    <s v="2025-01-08"/>
    <x v="3"/>
    <x v="4"/>
    <x v="0"/>
    <x v="765"/>
    <n v="4726.6499999999996"/>
    <n v="14"/>
    <n v="17888.080000000002"/>
    <x v="8"/>
    <n v="0.79099241954248412"/>
  </r>
  <r>
    <s v="ORD00767"/>
    <s v="2025-04-09"/>
    <x v="0"/>
    <x v="2"/>
    <x v="2"/>
    <x v="766"/>
    <n v="5745.39"/>
    <n v="8"/>
    <n v="34029.35"/>
    <x v="1"/>
    <n v="0.85555178990484915"/>
  </r>
  <r>
    <s v="ORD00768"/>
    <s v="2025-06-21"/>
    <x v="1"/>
    <x v="1"/>
    <x v="1"/>
    <x v="767"/>
    <n v="258.51"/>
    <n v="17"/>
    <n v="1678.19"/>
    <x v="4"/>
    <n v="0.86652036970103785"/>
  </r>
  <r>
    <s v="ORD00769"/>
    <s v="2025-06-19"/>
    <x v="3"/>
    <x v="4"/>
    <x v="2"/>
    <x v="768"/>
    <n v="1173.75"/>
    <n v="16"/>
    <n v="17438.39"/>
    <x v="4"/>
    <n v="0.9369363222069037"/>
  </r>
  <r>
    <s v="ORD00770"/>
    <s v="2025-09-04"/>
    <x v="2"/>
    <x v="1"/>
    <x v="1"/>
    <x v="769"/>
    <n v="494.11"/>
    <n v="10"/>
    <n v="9267.7699999999986"/>
    <x v="3"/>
    <n v="0.94938372526603476"/>
  </r>
  <r>
    <s v="ORD00771"/>
    <s v="2025-07-05"/>
    <x v="0"/>
    <x v="2"/>
    <x v="1"/>
    <x v="770"/>
    <n v="7919.9"/>
    <n v="9"/>
    <n v="26098.1"/>
    <x v="2"/>
    <n v="0.76718501969545527"/>
  </r>
  <r>
    <s v="ORD00772"/>
    <s v="2025-03-04"/>
    <x v="3"/>
    <x v="2"/>
    <x v="1"/>
    <x v="771"/>
    <n v="9792.32"/>
    <n v="17"/>
    <n v="30578.86"/>
    <x v="9"/>
    <n v="0.75744280944971143"/>
  </r>
  <r>
    <s v="ORD00773"/>
    <s v="2025-12-30"/>
    <x v="2"/>
    <x v="0"/>
    <x v="2"/>
    <x v="772"/>
    <n v="732.23"/>
    <n v="1"/>
    <n v="3670.1600000000003"/>
    <x v="11"/>
    <n v="0.83367443593139179"/>
  </r>
  <r>
    <s v="ORD00774"/>
    <s v="2025-06-12"/>
    <x v="1"/>
    <x v="4"/>
    <x v="2"/>
    <x v="773"/>
    <n v="6427.7"/>
    <n v="11"/>
    <n v="17820.25"/>
    <x v="4"/>
    <n v="0.73491779717460648"/>
  </r>
  <r>
    <s v="ORD00775"/>
    <s v="2025-11-17"/>
    <x v="2"/>
    <x v="5"/>
    <x v="1"/>
    <x v="774"/>
    <n v="548.16"/>
    <n v="17"/>
    <n v="2993.81"/>
    <x v="6"/>
    <n v="0.84523866661772973"/>
  </r>
  <r>
    <s v="ORD00776"/>
    <s v="2025-07-28"/>
    <x v="1"/>
    <x v="4"/>
    <x v="2"/>
    <x v="775"/>
    <n v="5496.1"/>
    <n v="9"/>
    <n v="15023.08"/>
    <x v="2"/>
    <n v="0.73214816576490871"/>
  </r>
  <r>
    <s v="ORD00777"/>
    <s v="2025-10-26"/>
    <x v="3"/>
    <x v="0"/>
    <x v="0"/>
    <x v="776"/>
    <n v="8090.94"/>
    <n v="11"/>
    <n v="22847.16"/>
    <x v="5"/>
    <n v="0.73847973857476712"/>
  </r>
  <r>
    <s v="ORD00778"/>
    <s v="2025-03-22"/>
    <x v="1"/>
    <x v="5"/>
    <x v="2"/>
    <x v="777"/>
    <n v="5229.32"/>
    <n v="1"/>
    <n v="27257.38"/>
    <x v="9"/>
    <n v="0.83903197308436994"/>
  </r>
  <r>
    <s v="ORD00779"/>
    <s v="2025-07-09"/>
    <x v="3"/>
    <x v="5"/>
    <x v="2"/>
    <x v="778"/>
    <n v="2991.23"/>
    <n v="9"/>
    <n v="8863.44"/>
    <x v="2"/>
    <n v="0.74767496691177404"/>
  </r>
  <r>
    <s v="ORD00780"/>
    <s v="2025-07-16"/>
    <x v="2"/>
    <x v="1"/>
    <x v="0"/>
    <x v="779"/>
    <n v="2500.7399999999998"/>
    <n v="20"/>
    <n v="20856.879999999997"/>
    <x v="2"/>
    <n v="0.89293686599918987"/>
  </r>
  <r>
    <s v="ORD00781"/>
    <s v="2025-08-23"/>
    <x v="3"/>
    <x v="0"/>
    <x v="2"/>
    <x v="780"/>
    <n v="10399.879999999999"/>
    <n v="19"/>
    <n v="34922.58"/>
    <x v="0"/>
    <n v="0.77053584470039804"/>
  </r>
  <r>
    <s v="ORD00782"/>
    <s v="2025-02-06"/>
    <x v="2"/>
    <x v="1"/>
    <x v="1"/>
    <x v="781"/>
    <n v="11273.26"/>
    <n v="17"/>
    <n v="30580.6"/>
    <x v="10"/>
    <n v="0.73065184429823193"/>
  </r>
  <r>
    <s v="ORD00783"/>
    <s v="2025-09-17"/>
    <x v="0"/>
    <x v="4"/>
    <x v="0"/>
    <x v="782"/>
    <n v="688.35"/>
    <n v="1"/>
    <n v="4785.3099999999995"/>
    <x v="3"/>
    <n v="0.87424319376797233"/>
  </r>
  <r>
    <s v="ORD00784"/>
    <s v="2025-05-30"/>
    <x v="1"/>
    <x v="0"/>
    <x v="1"/>
    <x v="783"/>
    <n v="1091.8499999999999"/>
    <n v="1"/>
    <n v="19972.620000000003"/>
    <x v="7"/>
    <n v="0.94816627240087226"/>
  </r>
  <r>
    <s v="ORD00785"/>
    <s v="2025-02-13"/>
    <x v="2"/>
    <x v="4"/>
    <x v="2"/>
    <x v="784"/>
    <n v="7446.24"/>
    <n v="11"/>
    <n v="20709.090000000004"/>
    <x v="10"/>
    <n v="0.73553000444320848"/>
  </r>
  <r>
    <s v="ORD00786"/>
    <s v="2025-10-12"/>
    <x v="2"/>
    <x v="5"/>
    <x v="0"/>
    <x v="785"/>
    <n v="7894.73"/>
    <n v="3"/>
    <n v="18723.55"/>
    <x v="5"/>
    <n v="0.70340946146783334"/>
  </r>
  <r>
    <s v="ORD00787"/>
    <s v="2025-06-16"/>
    <x v="3"/>
    <x v="5"/>
    <x v="0"/>
    <x v="786"/>
    <n v="3321.42"/>
    <n v="2"/>
    <n v="24504.89"/>
    <x v="4"/>
    <n v="0.88063742551563606"/>
  </r>
  <r>
    <s v="ORD00788"/>
    <s v="2025-11-18"/>
    <x v="0"/>
    <x v="0"/>
    <x v="0"/>
    <x v="787"/>
    <n v="316.13"/>
    <n v="19"/>
    <n v="1678.9499999999998"/>
    <x v="6"/>
    <n v="0.84154520119493947"/>
  </r>
  <r>
    <s v="ORD00789"/>
    <s v="2025-06-02"/>
    <x v="1"/>
    <x v="5"/>
    <x v="1"/>
    <x v="788"/>
    <n v="289.61"/>
    <n v="9"/>
    <n v="2658.8199999999997"/>
    <x v="4"/>
    <n v="0.90177484288248322"/>
  </r>
  <r>
    <s v="ORD00790"/>
    <s v="2025-06-08"/>
    <x v="3"/>
    <x v="1"/>
    <x v="2"/>
    <x v="789"/>
    <n v="1740.73"/>
    <n v="12"/>
    <n v="24605.350000000002"/>
    <x v="4"/>
    <n v="0.93392831115672614"/>
  </r>
  <r>
    <s v="ORD00791"/>
    <s v="2025-07-29"/>
    <x v="2"/>
    <x v="2"/>
    <x v="0"/>
    <x v="790"/>
    <n v="1808.02"/>
    <n v="17"/>
    <n v="11770.16"/>
    <x v="2"/>
    <n v="0.86684371543167049"/>
  </r>
  <r>
    <s v="ORD00792"/>
    <s v="2025-01-24"/>
    <x v="0"/>
    <x v="1"/>
    <x v="0"/>
    <x v="791"/>
    <n v="9339.9500000000007"/>
    <n v="17"/>
    <n v="25004.73"/>
    <x v="8"/>
    <n v="0.72805249604887856"/>
  </r>
  <r>
    <s v="ORD00793"/>
    <s v="2025-12-21"/>
    <x v="0"/>
    <x v="0"/>
    <x v="0"/>
    <x v="792"/>
    <n v="4231.32"/>
    <n v="16"/>
    <n v="11123.94"/>
    <x v="11"/>
    <n v="0.72443840091278167"/>
  </r>
  <r>
    <s v="ORD00794"/>
    <s v="2025-01-26"/>
    <x v="0"/>
    <x v="4"/>
    <x v="1"/>
    <x v="793"/>
    <n v="923.64"/>
    <n v="18"/>
    <n v="6875.83"/>
    <x v="8"/>
    <n v="0.88157656866428102"/>
  </r>
  <r>
    <s v="ORD00795"/>
    <s v="2025-01-04"/>
    <x v="0"/>
    <x v="2"/>
    <x v="2"/>
    <x v="794"/>
    <n v="3514.29"/>
    <n v="19"/>
    <n v="10226.68"/>
    <x v="8"/>
    <n v="0.74424731296262203"/>
  </r>
  <r>
    <s v="ORD00796"/>
    <s v="2025-11-27"/>
    <x v="1"/>
    <x v="3"/>
    <x v="0"/>
    <x v="795"/>
    <n v="6299.35"/>
    <n v="2"/>
    <n v="17448.099999999999"/>
    <x v="6"/>
    <n v="0.73473572952043265"/>
  </r>
  <r>
    <s v="ORD00797"/>
    <s v="2025-03-26"/>
    <x v="3"/>
    <x v="1"/>
    <x v="1"/>
    <x v="796"/>
    <n v="592.41"/>
    <n v="8"/>
    <n v="9125.0300000000007"/>
    <x v="9"/>
    <n v="0.93903641288240525"/>
  </r>
  <r>
    <s v="ORD00798"/>
    <s v="2025-05-03"/>
    <x v="1"/>
    <x v="4"/>
    <x v="0"/>
    <x v="797"/>
    <n v="9239.6200000000008"/>
    <n v="9"/>
    <n v="39900.61"/>
    <x v="7"/>
    <n v="0.81197442502812867"/>
  </r>
  <r>
    <s v="ORD00799"/>
    <s v="2025-11-10"/>
    <x v="0"/>
    <x v="2"/>
    <x v="1"/>
    <x v="798"/>
    <n v="3986.09"/>
    <n v="1"/>
    <n v="31758.98"/>
    <x v="6"/>
    <n v="0.88848560095140394"/>
  </r>
  <r>
    <s v="ORD00800"/>
    <s v="2025-08-29"/>
    <x v="1"/>
    <x v="0"/>
    <x v="1"/>
    <x v="799"/>
    <n v="3946.13"/>
    <n v="20"/>
    <n v="10041.599999999999"/>
    <x v="0"/>
    <n v="0.71788631893809784"/>
  </r>
  <r>
    <s v="ORD00801"/>
    <s v="2025-06-30"/>
    <x v="2"/>
    <x v="0"/>
    <x v="0"/>
    <x v="800"/>
    <n v="1285.49"/>
    <n v="16"/>
    <n v="23965.53"/>
    <x v="4"/>
    <n v="0.94909156144979478"/>
  </r>
  <r>
    <s v="ORD00802"/>
    <s v="2025-06-20"/>
    <x v="3"/>
    <x v="1"/>
    <x v="0"/>
    <x v="801"/>
    <n v="8302.39"/>
    <n v="13"/>
    <n v="41635.96"/>
    <x v="4"/>
    <n v="0.83374721031031263"/>
  </r>
  <r>
    <s v="ORD00803"/>
    <s v="2025-02-09"/>
    <x v="3"/>
    <x v="1"/>
    <x v="2"/>
    <x v="802"/>
    <n v="2809.78"/>
    <n v="20"/>
    <n v="33643.89"/>
    <x v="10"/>
    <n v="0.92292188962044153"/>
  </r>
  <r>
    <s v="ORD00804"/>
    <s v="2025-10-19"/>
    <x v="3"/>
    <x v="4"/>
    <x v="0"/>
    <x v="803"/>
    <n v="6150.86"/>
    <n v="19"/>
    <n v="17670.579999999998"/>
    <x v="5"/>
    <n v="0.74179310738561566"/>
  </r>
  <r>
    <s v="ORD00805"/>
    <s v="2025-08-16"/>
    <x v="0"/>
    <x v="0"/>
    <x v="1"/>
    <x v="804"/>
    <n v="6076.11"/>
    <n v="10"/>
    <n v="33389.360000000001"/>
    <x v="0"/>
    <n v="0.84603984191750403"/>
  </r>
  <r>
    <s v="ORD00806"/>
    <s v="2025-11-30"/>
    <x v="3"/>
    <x v="3"/>
    <x v="1"/>
    <x v="805"/>
    <n v="3735.6"/>
    <n v="19"/>
    <n v="20550.140000000003"/>
    <x v="6"/>
    <n v="0.84618133933740547"/>
  </r>
  <r>
    <s v="ORD00807"/>
    <s v="2025-04-17"/>
    <x v="2"/>
    <x v="5"/>
    <x v="0"/>
    <x v="806"/>
    <n v="3532.31"/>
    <n v="20"/>
    <n v="15757.710000000001"/>
    <x v="1"/>
    <n v="0.81688406751263087"/>
  </r>
  <r>
    <s v="ORD00808"/>
    <s v="2025-08-21"/>
    <x v="0"/>
    <x v="1"/>
    <x v="0"/>
    <x v="807"/>
    <n v="5073.47"/>
    <n v="10"/>
    <n v="22965.34"/>
    <x v="0"/>
    <n v="0.81905544493507387"/>
  </r>
  <r>
    <s v="ORD00809"/>
    <s v="2025-10-07"/>
    <x v="0"/>
    <x v="5"/>
    <x v="1"/>
    <x v="808"/>
    <n v="826.72"/>
    <n v="19"/>
    <n v="5056.3899999999994"/>
    <x v="5"/>
    <n v="0.85947568547927877"/>
  </r>
  <r>
    <s v="ORD00810"/>
    <s v="2025-03-22"/>
    <x v="0"/>
    <x v="4"/>
    <x v="2"/>
    <x v="809"/>
    <n v="3739.22"/>
    <n v="1"/>
    <n v="38339.089999999997"/>
    <x v="9"/>
    <n v="0.91113664023103591"/>
  </r>
  <r>
    <s v="ORD00811"/>
    <s v="2025-05-05"/>
    <x v="2"/>
    <x v="2"/>
    <x v="1"/>
    <x v="810"/>
    <n v="4721.79"/>
    <n v="6"/>
    <n v="42459.09"/>
    <x v="7"/>
    <n v="0.8999215360120455"/>
  </r>
  <r>
    <s v="ORD00812"/>
    <s v="2025-02-07"/>
    <x v="0"/>
    <x v="3"/>
    <x v="1"/>
    <x v="811"/>
    <n v="1525.51"/>
    <n v="7"/>
    <n v="12717.44"/>
    <x v="10"/>
    <n v="0.89289367722276636"/>
  </r>
  <r>
    <s v="ORD00813"/>
    <s v="2025-06-06"/>
    <x v="2"/>
    <x v="4"/>
    <x v="0"/>
    <x v="812"/>
    <n v="8304.64"/>
    <n v="16"/>
    <n v="29232.760000000002"/>
    <x v="4"/>
    <n v="0.77876357978975641"/>
  </r>
  <r>
    <s v="ORD00814"/>
    <s v="2025-08-19"/>
    <x v="1"/>
    <x v="5"/>
    <x v="2"/>
    <x v="813"/>
    <n v="4444.4399999999996"/>
    <n v="11"/>
    <n v="36525.579999999994"/>
    <x v="0"/>
    <n v="0.89151970147927673"/>
  </r>
  <r>
    <s v="ORD00815"/>
    <s v="2025-01-13"/>
    <x v="0"/>
    <x v="4"/>
    <x v="1"/>
    <x v="814"/>
    <n v="11048.05"/>
    <n v="18"/>
    <n v="27444.74"/>
    <x v="8"/>
    <n v="0.71298391205210121"/>
  </r>
  <r>
    <s v="ORD00816"/>
    <s v="2025-06-23"/>
    <x v="0"/>
    <x v="2"/>
    <x v="2"/>
    <x v="815"/>
    <n v="829.35"/>
    <n v="15"/>
    <n v="9794.48"/>
    <x v="4"/>
    <n v="0.92193493307027685"/>
  </r>
  <r>
    <s v="ORD00817"/>
    <s v="2025-02-18"/>
    <x v="2"/>
    <x v="2"/>
    <x v="1"/>
    <x v="816"/>
    <n v="1499.63"/>
    <n v="11"/>
    <n v="4463.88"/>
    <x v="10"/>
    <n v="0.74853232408430603"/>
  </r>
  <r>
    <s v="ORD00818"/>
    <s v="2025-08-15"/>
    <x v="3"/>
    <x v="4"/>
    <x v="2"/>
    <x v="817"/>
    <n v="578.35"/>
    <n v="14"/>
    <n v="6715.5099999999993"/>
    <x v="0"/>
    <n v="0.92070727982165812"/>
  </r>
  <r>
    <s v="ORD00819"/>
    <s v="2025-10-02"/>
    <x v="1"/>
    <x v="1"/>
    <x v="2"/>
    <x v="818"/>
    <n v="8147.86"/>
    <n v="11"/>
    <n v="36561.159999999996"/>
    <x v="5"/>
    <n v="0.81775802735108039"/>
  </r>
  <r>
    <s v="ORD00820"/>
    <s v="2025-09-14"/>
    <x v="2"/>
    <x v="3"/>
    <x v="2"/>
    <x v="819"/>
    <n v="7925.6"/>
    <n v="6"/>
    <n v="29769.270000000004"/>
    <x v="3"/>
    <n v="0.78974327275833556"/>
  </r>
  <r>
    <s v="ORD00821"/>
    <s v="2025-04-10"/>
    <x v="3"/>
    <x v="4"/>
    <x v="1"/>
    <x v="820"/>
    <n v="8625.06"/>
    <n v="7"/>
    <n v="34895.770000000004"/>
    <x v="1"/>
    <n v="0.8018176583488873"/>
  </r>
  <r>
    <s v="ORD00822"/>
    <s v="2025-09-03"/>
    <x v="3"/>
    <x v="4"/>
    <x v="2"/>
    <x v="821"/>
    <n v="5865.98"/>
    <n v="8"/>
    <n v="14349.830000000002"/>
    <x v="3"/>
    <n v="0.70983205718692455"/>
  </r>
  <r>
    <s v="ORD00823"/>
    <s v="2025-08-18"/>
    <x v="0"/>
    <x v="4"/>
    <x v="1"/>
    <x v="822"/>
    <n v="654.02"/>
    <n v="7"/>
    <n v="6785.73"/>
    <x v="0"/>
    <n v="0.91209113209449233"/>
  </r>
  <r>
    <s v="ORD00824"/>
    <s v="2025-05-30"/>
    <x v="2"/>
    <x v="1"/>
    <x v="0"/>
    <x v="823"/>
    <n v="4264.7700000000004"/>
    <n v="8"/>
    <n v="21307.3"/>
    <x v="7"/>
    <n v="0.83322546825501409"/>
  </r>
  <r>
    <s v="ORD00825"/>
    <s v="2025-03-04"/>
    <x v="0"/>
    <x v="5"/>
    <x v="2"/>
    <x v="824"/>
    <n v="1193.71"/>
    <n v="10"/>
    <n v="17346.330000000002"/>
    <x v="9"/>
    <n v="0.93561448626863808"/>
  </r>
  <r>
    <s v="ORD00826"/>
    <s v="2025-10-25"/>
    <x v="2"/>
    <x v="3"/>
    <x v="0"/>
    <x v="825"/>
    <n v="2498.4699999999998"/>
    <n v="8"/>
    <n v="12362.44"/>
    <x v="5"/>
    <n v="0.83187637903735379"/>
  </r>
  <r>
    <s v="ORD00827"/>
    <s v="2025-02-04"/>
    <x v="1"/>
    <x v="4"/>
    <x v="1"/>
    <x v="826"/>
    <n v="3834.69"/>
    <n v="1"/>
    <n v="19863.23"/>
    <x v="10"/>
    <n v="0.83818453265096693"/>
  </r>
  <r>
    <s v="ORD00828"/>
    <s v="2025-01-04"/>
    <x v="0"/>
    <x v="1"/>
    <x v="0"/>
    <x v="827"/>
    <n v="6072.63"/>
    <n v="12"/>
    <n v="17107.48"/>
    <x v="8"/>
    <n v="0.73802410773719362"/>
  </r>
  <r>
    <s v="ORD00829"/>
    <s v="2025-07-22"/>
    <x v="3"/>
    <x v="1"/>
    <x v="2"/>
    <x v="828"/>
    <n v="872.11"/>
    <n v="19"/>
    <n v="16384.5"/>
    <x v="2"/>
    <n v="0.94946226402520539"/>
  </r>
  <r>
    <s v="ORD00830"/>
    <s v="2025-12-22"/>
    <x v="2"/>
    <x v="0"/>
    <x v="1"/>
    <x v="829"/>
    <n v="3009.53"/>
    <n v="10"/>
    <n v="23575.550000000003"/>
    <x v="11"/>
    <n v="0.88679627821319329"/>
  </r>
  <r>
    <s v="ORD00831"/>
    <s v="2025-02-22"/>
    <x v="2"/>
    <x v="5"/>
    <x v="2"/>
    <x v="830"/>
    <n v="5902.07"/>
    <n v="5"/>
    <n v="34336.43"/>
    <x v="10"/>
    <n v="0.85332281272910271"/>
  </r>
  <r>
    <s v="ORD00832"/>
    <s v="2025-05-02"/>
    <x v="3"/>
    <x v="4"/>
    <x v="2"/>
    <x v="831"/>
    <n v="2684.5"/>
    <n v="6"/>
    <n v="8048.2099999999991"/>
    <x v="7"/>
    <n v="0.74987677855825785"/>
  </r>
  <r>
    <s v="ORD00833"/>
    <s v="2025-07-08"/>
    <x v="2"/>
    <x v="5"/>
    <x v="0"/>
    <x v="832"/>
    <n v="1612.33"/>
    <n v="9"/>
    <n v="26865.199999999997"/>
    <x v="2"/>
    <n v="0.94338237901952871"/>
  </r>
  <r>
    <s v="ORD00834"/>
    <s v="2025-02-08"/>
    <x v="1"/>
    <x v="0"/>
    <x v="0"/>
    <x v="833"/>
    <n v="6278.5"/>
    <n v="10"/>
    <n v="14701.470000000001"/>
    <x v="10"/>
    <n v="0.70073837093189362"/>
  </r>
  <r>
    <s v="ORD00835"/>
    <s v="2025-12-19"/>
    <x v="2"/>
    <x v="2"/>
    <x v="0"/>
    <x v="834"/>
    <n v="643.63"/>
    <n v="12"/>
    <n v="5043.01"/>
    <x v="11"/>
    <n v="0.88681717147559891"/>
  </r>
  <r>
    <s v="ORD00836"/>
    <s v="2025-11-28"/>
    <x v="3"/>
    <x v="5"/>
    <x v="0"/>
    <x v="835"/>
    <n v="2731.93"/>
    <n v="4"/>
    <n v="23007.19"/>
    <x v="6"/>
    <n v="0.89386078467329111"/>
  </r>
  <r>
    <s v="ORD00837"/>
    <s v="2025-04-07"/>
    <x v="1"/>
    <x v="0"/>
    <x v="2"/>
    <x v="836"/>
    <n v="1308.1400000000001"/>
    <n v="3"/>
    <n v="19308.39"/>
    <x v="1"/>
    <n v="0.93654897308130902"/>
  </r>
  <r>
    <s v="ORD00838"/>
    <s v="2025-03-18"/>
    <x v="1"/>
    <x v="5"/>
    <x v="1"/>
    <x v="837"/>
    <n v="3350.76"/>
    <n v="8"/>
    <n v="12564.75"/>
    <x v="9"/>
    <n v="0.78946574756322607"/>
  </r>
  <r>
    <s v="ORD00839"/>
    <s v="2025-06-06"/>
    <x v="2"/>
    <x v="2"/>
    <x v="1"/>
    <x v="838"/>
    <n v="11398.22"/>
    <n v="13"/>
    <n v="29602.729999999996"/>
    <x v="4"/>
    <n v="0.72200107558483395"/>
  </r>
  <r>
    <s v="ORD00840"/>
    <s v="2025-11-13"/>
    <x v="1"/>
    <x v="4"/>
    <x v="2"/>
    <x v="839"/>
    <n v="1893.35"/>
    <n v="6"/>
    <n v="9278.23"/>
    <x v="6"/>
    <n v="0.8305208394873419"/>
  </r>
  <r>
    <s v="ORD00841"/>
    <s v="2025-03-23"/>
    <x v="3"/>
    <x v="3"/>
    <x v="2"/>
    <x v="840"/>
    <n v="12344.14"/>
    <n v="14"/>
    <n v="31526.940000000002"/>
    <x v="9"/>
    <n v="0.7186269405722403"/>
  </r>
  <r>
    <s v="ORD00842"/>
    <s v="2025-11-14"/>
    <x v="1"/>
    <x v="5"/>
    <x v="1"/>
    <x v="841"/>
    <n v="13421.2"/>
    <n v="10"/>
    <n v="32224.389999999996"/>
    <x v="6"/>
    <n v="0.70596940471138614"/>
  </r>
  <r>
    <s v="ORD00843"/>
    <s v="2025-04-13"/>
    <x v="3"/>
    <x v="4"/>
    <x v="0"/>
    <x v="842"/>
    <n v="2546.29"/>
    <n v="8"/>
    <n v="10652.599999999999"/>
    <x v="1"/>
    <n v="0.8070830198600033"/>
  </r>
  <r>
    <s v="ORD00844"/>
    <s v="2025-08-21"/>
    <x v="0"/>
    <x v="5"/>
    <x v="1"/>
    <x v="843"/>
    <n v="7100.51"/>
    <n v="10"/>
    <n v="42785.5"/>
    <x v="0"/>
    <n v="0.85766530536316687"/>
  </r>
  <r>
    <s v="ORD00845"/>
    <s v="2025-03-03"/>
    <x v="1"/>
    <x v="4"/>
    <x v="0"/>
    <x v="844"/>
    <n v="4321.5600000000004"/>
    <n v="13"/>
    <n v="19920.879999999997"/>
    <x v="9"/>
    <n v="0.82173576587175212"/>
  </r>
  <r>
    <s v="ORD00846"/>
    <s v="2025-12-22"/>
    <x v="2"/>
    <x v="2"/>
    <x v="2"/>
    <x v="845"/>
    <n v="2525.77"/>
    <n v="6"/>
    <n v="22921.48"/>
    <x v="11"/>
    <n v="0.90074487420055216"/>
  </r>
  <r>
    <s v="ORD00847"/>
    <s v="2025-04-01"/>
    <x v="2"/>
    <x v="5"/>
    <x v="0"/>
    <x v="846"/>
    <n v="333.58"/>
    <n v="20"/>
    <n v="4435.97"/>
    <x v="1"/>
    <n v="0.93006048788669793"/>
  </r>
  <r>
    <s v="ORD00848"/>
    <s v="2025-05-06"/>
    <x v="1"/>
    <x v="5"/>
    <x v="0"/>
    <x v="847"/>
    <n v="5104.6099999999997"/>
    <n v="19"/>
    <n v="14946.25"/>
    <x v="7"/>
    <n v="0.74541690481106548"/>
  </r>
  <r>
    <s v="ORD00849"/>
    <s v="2025-11-16"/>
    <x v="0"/>
    <x v="4"/>
    <x v="2"/>
    <x v="848"/>
    <n v="4016.17"/>
    <n v="10"/>
    <n v="25389.660000000003"/>
    <x v="6"/>
    <n v="0.86342266142462232"/>
  </r>
  <r>
    <s v="ORD00850"/>
    <s v="2025-03-10"/>
    <x v="2"/>
    <x v="0"/>
    <x v="0"/>
    <x v="849"/>
    <n v="9824.2199999999993"/>
    <n v="5"/>
    <n v="33876.18"/>
    <x v="9"/>
    <n v="0.77519153142762998"/>
  </r>
  <r>
    <s v="ORD00851"/>
    <s v="2025-09-02"/>
    <x v="0"/>
    <x v="4"/>
    <x v="0"/>
    <x v="850"/>
    <n v="7545.22"/>
    <n v="15"/>
    <n v="39979.74"/>
    <x v="3"/>
    <n v="0.84123668909979088"/>
  </r>
  <r>
    <s v="ORD00852"/>
    <s v="2025-07-26"/>
    <x v="1"/>
    <x v="0"/>
    <x v="0"/>
    <x v="851"/>
    <n v="6349.7"/>
    <n v="12"/>
    <n v="14880.93"/>
    <x v="2"/>
    <n v="0.70091796616492297"/>
  </r>
  <r>
    <s v="ORD00853"/>
    <s v="2025-02-07"/>
    <x v="1"/>
    <x v="5"/>
    <x v="2"/>
    <x v="852"/>
    <n v="11464.55"/>
    <n v="7"/>
    <n v="29117.7"/>
    <x v="10"/>
    <n v="0.71749841371535583"/>
  </r>
  <r>
    <s v="ORD00854"/>
    <s v="2025-01-31"/>
    <x v="3"/>
    <x v="5"/>
    <x v="1"/>
    <x v="853"/>
    <n v="4792.2700000000004"/>
    <n v="11"/>
    <n v="27157"/>
    <x v="8"/>
    <n v="0.85000377160417118"/>
  </r>
  <r>
    <s v="ORD00855"/>
    <s v="2025-07-27"/>
    <x v="0"/>
    <x v="1"/>
    <x v="0"/>
    <x v="854"/>
    <n v="12931.78"/>
    <n v="5"/>
    <n v="33371.14"/>
    <x v="2"/>
    <n v="0.72071351007668627"/>
  </r>
  <r>
    <s v="ORD00856"/>
    <s v="2025-01-27"/>
    <x v="0"/>
    <x v="1"/>
    <x v="1"/>
    <x v="855"/>
    <n v="9593.9599999999991"/>
    <n v="10"/>
    <n v="23500.67"/>
    <x v="8"/>
    <n v="0.7101052345954616"/>
  </r>
  <r>
    <s v="ORD00857"/>
    <s v="2025-08-31"/>
    <x v="3"/>
    <x v="0"/>
    <x v="1"/>
    <x v="856"/>
    <n v="9703.6299999999992"/>
    <n v="3"/>
    <n v="27745.060000000005"/>
    <x v="0"/>
    <n v="0.74088199079861017"/>
  </r>
  <r>
    <s v="ORD00858"/>
    <s v="2025-03-21"/>
    <x v="3"/>
    <x v="1"/>
    <x v="1"/>
    <x v="857"/>
    <n v="3027.96"/>
    <n v="2"/>
    <n v="41980.78"/>
    <x v="9"/>
    <n v="0.93272506628712559"/>
  </r>
  <r>
    <s v="ORD00859"/>
    <s v="2025-10-29"/>
    <x v="3"/>
    <x v="4"/>
    <x v="0"/>
    <x v="858"/>
    <n v="6358.18"/>
    <n v="16"/>
    <n v="22433.96"/>
    <x v="5"/>
    <n v="0.77916959281248288"/>
  </r>
  <r>
    <s v="ORD00860"/>
    <s v="2025-09-09"/>
    <x v="3"/>
    <x v="3"/>
    <x v="1"/>
    <x v="859"/>
    <n v="360.72"/>
    <n v="3"/>
    <n v="998.91000000000008"/>
    <x v="3"/>
    <n v="0.734692526643278"/>
  </r>
  <r>
    <s v="ORD00861"/>
    <s v="2025-01-13"/>
    <x v="3"/>
    <x v="5"/>
    <x v="0"/>
    <x v="860"/>
    <n v="7533"/>
    <n v="11"/>
    <n v="25470.690000000002"/>
    <x v="8"/>
    <n v="0.77175279491475046"/>
  </r>
  <r>
    <s v="ORD00862"/>
    <s v="2025-05-23"/>
    <x v="1"/>
    <x v="4"/>
    <x v="0"/>
    <x v="861"/>
    <n v="6789.9"/>
    <n v="3"/>
    <n v="32613.43"/>
    <x v="7"/>
    <n v="0.82768207661636717"/>
  </r>
  <r>
    <s v="ORD00863"/>
    <s v="2025-02-23"/>
    <x v="2"/>
    <x v="3"/>
    <x v="1"/>
    <x v="862"/>
    <n v="2523.6"/>
    <n v="18"/>
    <n v="23097.13"/>
    <x v="10"/>
    <n v="0.90150163558961827"/>
  </r>
  <r>
    <s v="ORD00864"/>
    <s v="2025-04-19"/>
    <x v="2"/>
    <x v="4"/>
    <x v="0"/>
    <x v="863"/>
    <n v="1302.45"/>
    <n v="18"/>
    <n v="10325.519999999999"/>
    <x v="1"/>
    <n v="0.88798990709470349"/>
  </r>
  <r>
    <s v="ORD00865"/>
    <s v="2025-02-16"/>
    <x v="1"/>
    <x v="0"/>
    <x v="0"/>
    <x v="864"/>
    <n v="2334.2800000000002"/>
    <n v="10"/>
    <n v="10475.609999999999"/>
    <x v="10"/>
    <n v="0.81777517215214179"/>
  </r>
  <r>
    <s v="ORD00866"/>
    <s v="2025-06-11"/>
    <x v="1"/>
    <x v="3"/>
    <x v="0"/>
    <x v="865"/>
    <n v="8650.4599999999991"/>
    <n v="17"/>
    <n v="34725.230000000003"/>
    <x v="4"/>
    <n v="0.80056893619444447"/>
  </r>
  <r>
    <s v="ORD00867"/>
    <s v="2025-12-02"/>
    <x v="2"/>
    <x v="0"/>
    <x v="2"/>
    <x v="866"/>
    <n v="4283.04"/>
    <n v="5"/>
    <n v="34447.74"/>
    <x v="11"/>
    <n v="0.88941508536621261"/>
  </r>
  <r>
    <s v="ORD00868"/>
    <s v="2025-10-10"/>
    <x v="3"/>
    <x v="1"/>
    <x v="2"/>
    <x v="867"/>
    <n v="2289.5700000000002"/>
    <n v="7"/>
    <n v="25858.15"/>
    <x v="5"/>
    <n v="0.91865877591506528"/>
  </r>
  <r>
    <s v="ORD00869"/>
    <s v="2025-01-06"/>
    <x v="1"/>
    <x v="2"/>
    <x v="1"/>
    <x v="868"/>
    <n v="4983.67"/>
    <n v="11"/>
    <n v="27353.64"/>
    <x v="8"/>
    <n v="0.84588483086564714"/>
  </r>
  <r>
    <s v="ORD00870"/>
    <s v="2025-04-18"/>
    <x v="1"/>
    <x v="5"/>
    <x v="2"/>
    <x v="869"/>
    <n v="14229.14"/>
    <n v="12"/>
    <n v="33545.1"/>
    <x v="1"/>
    <n v="0.70215873659110017"/>
  </r>
  <r>
    <s v="ORD00871"/>
    <s v="2025-01-14"/>
    <x v="3"/>
    <x v="1"/>
    <x v="2"/>
    <x v="870"/>
    <n v="1914.92"/>
    <n v="18"/>
    <n v="27841.47"/>
    <x v="8"/>
    <n v="0.9356467636027086"/>
  </r>
  <r>
    <s v="ORD00872"/>
    <s v="2025-05-08"/>
    <x v="2"/>
    <x v="2"/>
    <x v="1"/>
    <x v="871"/>
    <n v="4869.74"/>
    <n v="6"/>
    <n v="15531.62"/>
    <x v="7"/>
    <n v="0.76130316802409248"/>
  </r>
  <r>
    <s v="ORD00873"/>
    <s v="2025-11-29"/>
    <x v="1"/>
    <x v="2"/>
    <x v="2"/>
    <x v="872"/>
    <n v="1461.96"/>
    <n v="18"/>
    <n v="4610.1400000000003"/>
    <x v="6"/>
    <n v="0.75923321420925216"/>
  </r>
  <r>
    <s v="ORD00874"/>
    <s v="2025-06-10"/>
    <x v="0"/>
    <x v="3"/>
    <x v="0"/>
    <x v="873"/>
    <n v="4721.4399999999996"/>
    <n v="4"/>
    <n v="29655.430000000004"/>
    <x v="4"/>
    <n v="0.86265648966878028"/>
  </r>
  <r>
    <s v="ORD00875"/>
    <s v="2025-07-31"/>
    <x v="3"/>
    <x v="2"/>
    <x v="2"/>
    <x v="874"/>
    <n v="1864.92"/>
    <n v="18"/>
    <n v="23202.080000000002"/>
    <x v="2"/>
    <n v="0.9256025850720071"/>
  </r>
  <r>
    <s v="ORD00876"/>
    <s v="2025-12-03"/>
    <x v="1"/>
    <x v="2"/>
    <x v="0"/>
    <x v="875"/>
    <n v="1764.33"/>
    <n v="14"/>
    <n v="24958.480000000003"/>
    <x v="11"/>
    <n v="0.93397662895481437"/>
  </r>
  <r>
    <s v="ORD00877"/>
    <s v="2025-01-29"/>
    <x v="1"/>
    <x v="5"/>
    <x v="1"/>
    <x v="876"/>
    <n v="6757.8"/>
    <n v="7"/>
    <n v="42814.6"/>
    <x v="8"/>
    <n v="0.86367817575909167"/>
  </r>
  <r>
    <s v="ORD00878"/>
    <s v="2025-01-08"/>
    <x v="2"/>
    <x v="2"/>
    <x v="0"/>
    <x v="877"/>
    <n v="1759.28"/>
    <n v="6"/>
    <n v="15327.229999999998"/>
    <x v="8"/>
    <n v="0.8970369022111595"/>
  </r>
  <r>
    <s v="ORD00879"/>
    <s v="2025-05-09"/>
    <x v="2"/>
    <x v="2"/>
    <x v="2"/>
    <x v="878"/>
    <n v="6574.08"/>
    <n v="9"/>
    <n v="21764.21"/>
    <x v="7"/>
    <n v="0.76801423092219034"/>
  </r>
  <r>
    <s v="ORD00880"/>
    <s v="2025-05-31"/>
    <x v="1"/>
    <x v="1"/>
    <x v="2"/>
    <x v="879"/>
    <n v="2621.67"/>
    <n v="15"/>
    <n v="11037.42"/>
    <x v="7"/>
    <n v="0.80806408040359934"/>
  </r>
  <r>
    <s v="ORD00881"/>
    <s v="2025-11-01"/>
    <x v="0"/>
    <x v="1"/>
    <x v="1"/>
    <x v="880"/>
    <n v="6471.29"/>
    <n v="19"/>
    <n v="32562.909999999996"/>
    <x v="6"/>
    <n v="0.83421486798755962"/>
  </r>
  <r>
    <s v="ORD00882"/>
    <s v="2025-01-11"/>
    <x v="0"/>
    <x v="3"/>
    <x v="0"/>
    <x v="881"/>
    <n v="6497.11"/>
    <n v="13"/>
    <n v="24793.579999999998"/>
    <x v="8"/>
    <n v="0.79236284019304137"/>
  </r>
  <r>
    <s v="ORD00883"/>
    <s v="2025-09-15"/>
    <x v="1"/>
    <x v="5"/>
    <x v="1"/>
    <x v="882"/>
    <n v="1465.18"/>
    <n v="7"/>
    <n v="23507.72"/>
    <x v="3"/>
    <n v="0.9413292008537254"/>
  </r>
  <r>
    <s v="ORD00884"/>
    <s v="2025-10-16"/>
    <x v="1"/>
    <x v="4"/>
    <x v="0"/>
    <x v="883"/>
    <n v="2437.9899999999998"/>
    <n v="10"/>
    <n v="32233.310000000005"/>
    <x v="5"/>
    <n v="0.92968276355371737"/>
  </r>
  <r>
    <s v="ORD00885"/>
    <s v="2025-01-31"/>
    <x v="3"/>
    <x v="1"/>
    <x v="1"/>
    <x v="884"/>
    <n v="5334.95"/>
    <n v="14"/>
    <n v="36554.380000000005"/>
    <x v="8"/>
    <n v="0.87264179207449732"/>
  </r>
  <r>
    <s v="ORD00886"/>
    <s v="2025-06-22"/>
    <x v="0"/>
    <x v="3"/>
    <x v="0"/>
    <x v="885"/>
    <n v="4095.29"/>
    <n v="9"/>
    <n v="13114.57"/>
    <x v="4"/>
    <n v="0.76203815719593304"/>
  </r>
  <r>
    <s v="ORD00887"/>
    <s v="2025-02-11"/>
    <x v="2"/>
    <x v="5"/>
    <x v="0"/>
    <x v="886"/>
    <n v="13774.94"/>
    <n v="8"/>
    <n v="35139.799999999996"/>
    <x v="10"/>
    <n v="0.71838877197343776"/>
  </r>
  <r>
    <s v="ORD00888"/>
    <s v="2025-05-20"/>
    <x v="3"/>
    <x v="4"/>
    <x v="0"/>
    <x v="887"/>
    <n v="7784.32"/>
    <n v="6"/>
    <n v="35377.93"/>
    <x v="7"/>
    <n v="0.81964980972956691"/>
  </r>
  <r>
    <s v="ORD00889"/>
    <s v="2025-06-20"/>
    <x v="1"/>
    <x v="0"/>
    <x v="2"/>
    <x v="888"/>
    <n v="3646.93"/>
    <n v="15"/>
    <n v="30848.400000000001"/>
    <x v="4"/>
    <n v="0.89427757322512935"/>
  </r>
  <r>
    <s v="ORD00890"/>
    <s v="2025-03-31"/>
    <x v="2"/>
    <x v="1"/>
    <x v="2"/>
    <x v="889"/>
    <n v="1302.95"/>
    <n v="7"/>
    <n v="8169.5800000000008"/>
    <x v="9"/>
    <n v="0.86244963066889213"/>
  </r>
  <r>
    <s v="ORD00891"/>
    <s v="2025-11-30"/>
    <x v="1"/>
    <x v="3"/>
    <x v="2"/>
    <x v="890"/>
    <n v="2294.11"/>
    <n v="14"/>
    <n v="25373.239999999998"/>
    <x v="6"/>
    <n v="0.91708240941037"/>
  </r>
  <r>
    <s v="ORD00892"/>
    <s v="2025-06-29"/>
    <x v="2"/>
    <x v="4"/>
    <x v="1"/>
    <x v="891"/>
    <n v="5284.47"/>
    <n v="7"/>
    <n v="32403.42"/>
    <x v="4"/>
    <n v="0.85978334154552027"/>
  </r>
  <r>
    <s v="ORD00893"/>
    <s v="2025-01-02"/>
    <x v="1"/>
    <x v="5"/>
    <x v="2"/>
    <x v="892"/>
    <n v="2307.65"/>
    <n v="9"/>
    <n v="13686.640000000001"/>
    <x v="8"/>
    <n v="0.85572038521247273"/>
  </r>
  <r>
    <s v="ORD00894"/>
    <s v="2025-12-24"/>
    <x v="0"/>
    <x v="5"/>
    <x v="0"/>
    <x v="893"/>
    <n v="6177.48"/>
    <n v="4"/>
    <n v="24065.48"/>
    <x v="11"/>
    <n v="0.79573824784346503"/>
  </r>
  <r>
    <s v="ORD00895"/>
    <s v="2025-12-12"/>
    <x v="0"/>
    <x v="0"/>
    <x v="0"/>
    <x v="894"/>
    <n v="1988.83"/>
    <n v="11"/>
    <n v="30591.160000000003"/>
    <x v="11"/>
    <n v="0.93895547543139213"/>
  </r>
  <r>
    <s v="ORD00896"/>
    <s v="2025-10-16"/>
    <x v="3"/>
    <x v="1"/>
    <x v="0"/>
    <x v="895"/>
    <n v="8013.21"/>
    <n v="12"/>
    <n v="29694.760000000002"/>
    <x v="5"/>
    <n v="0.78749293584353652"/>
  </r>
  <r>
    <s v="ORD00897"/>
    <s v="2025-09-23"/>
    <x v="3"/>
    <x v="5"/>
    <x v="2"/>
    <x v="896"/>
    <n v="290.44"/>
    <n v="5"/>
    <n v="2180.7999999999997"/>
    <x v="3"/>
    <n v="0.88247195739790552"/>
  </r>
  <r>
    <s v="ORD00898"/>
    <s v="2025-05-22"/>
    <x v="3"/>
    <x v="2"/>
    <x v="1"/>
    <x v="897"/>
    <n v="9189.61"/>
    <n v="7"/>
    <n v="27403.58"/>
    <x v="7"/>
    <n v="0.74887103310752634"/>
  </r>
  <r>
    <s v="ORD00899"/>
    <s v="2025-05-21"/>
    <x v="1"/>
    <x v="4"/>
    <x v="2"/>
    <x v="898"/>
    <n v="1320.66"/>
    <n v="16"/>
    <n v="10141.34"/>
    <x v="7"/>
    <n v="0.88477927063339734"/>
  </r>
  <r>
    <s v="ORD00900"/>
    <s v="2025-09-16"/>
    <x v="1"/>
    <x v="5"/>
    <x v="2"/>
    <x v="899"/>
    <n v="12795.06"/>
    <n v="7"/>
    <n v="37069.050000000003"/>
    <x v="3"/>
    <n v="0.74340141636940882"/>
  </r>
  <r>
    <s v="ORD00901"/>
    <s v="2025-10-03"/>
    <x v="2"/>
    <x v="0"/>
    <x v="1"/>
    <x v="900"/>
    <n v="6054.72"/>
    <n v="20"/>
    <n v="21668.43"/>
    <x v="5"/>
    <n v="0.78160057569215613"/>
  </r>
  <r>
    <s v="ORD00902"/>
    <s v="2025-04-21"/>
    <x v="2"/>
    <x v="4"/>
    <x v="1"/>
    <x v="901"/>
    <n v="4750.54"/>
    <n v="12"/>
    <n v="13839.27"/>
    <x v="1"/>
    <n v="0.74445462325865619"/>
  </r>
  <r>
    <s v="ORD00903"/>
    <s v="2025-08-20"/>
    <x v="0"/>
    <x v="1"/>
    <x v="2"/>
    <x v="902"/>
    <n v="2140.98"/>
    <n v="13"/>
    <n v="17217.18"/>
    <x v="0"/>
    <n v="0.88940167867193987"/>
  </r>
  <r>
    <s v="ORD00904"/>
    <s v="2025-09-07"/>
    <x v="0"/>
    <x v="3"/>
    <x v="1"/>
    <x v="903"/>
    <n v="6441.94"/>
    <n v="13"/>
    <n v="40393.939999999995"/>
    <x v="3"/>
    <n v="0.86245715891320918"/>
  </r>
  <r>
    <s v="ORD00905"/>
    <s v="2025-06-29"/>
    <x v="2"/>
    <x v="1"/>
    <x v="1"/>
    <x v="904"/>
    <n v="6908.42"/>
    <n v="19"/>
    <n v="22843.78"/>
    <x v="4"/>
    <n v="0.76780137267160065"/>
  </r>
  <r>
    <s v="ORD00906"/>
    <s v="2025-01-09"/>
    <x v="0"/>
    <x v="3"/>
    <x v="1"/>
    <x v="905"/>
    <n v="4235.72"/>
    <n v="3"/>
    <n v="28008.25"/>
    <x v="8"/>
    <n v="0.86863528281411995"/>
  </r>
  <r>
    <s v="ORD00907"/>
    <s v="2025-02-19"/>
    <x v="3"/>
    <x v="1"/>
    <x v="1"/>
    <x v="906"/>
    <n v="5258.09"/>
    <n v="6"/>
    <n v="23472.55"/>
    <x v="10"/>
    <n v="0.816986673460807"/>
  </r>
  <r>
    <s v="ORD00908"/>
    <s v="2025-01-24"/>
    <x v="3"/>
    <x v="4"/>
    <x v="0"/>
    <x v="907"/>
    <n v="1185.26"/>
    <n v="5"/>
    <n v="13513.199999999999"/>
    <x v="8"/>
    <n v="0.91936162019694578"/>
  </r>
  <r>
    <s v="ORD00909"/>
    <s v="2025-08-27"/>
    <x v="2"/>
    <x v="3"/>
    <x v="0"/>
    <x v="908"/>
    <n v="7688.41"/>
    <n v="5"/>
    <n v="22071.89"/>
    <x v="0"/>
    <n v="0.74165549406423992"/>
  </r>
  <r>
    <s v="ORD00910"/>
    <s v="2025-04-16"/>
    <x v="0"/>
    <x v="2"/>
    <x v="1"/>
    <x v="909"/>
    <n v="3257.96"/>
    <n v="13"/>
    <n v="25804.690000000002"/>
    <x v="1"/>
    <n v="0.88789872912483891"/>
  </r>
  <r>
    <s v="ORD00911"/>
    <s v="2025-06-19"/>
    <x v="2"/>
    <x v="1"/>
    <x v="2"/>
    <x v="910"/>
    <n v="3551.74"/>
    <n v="2"/>
    <n v="39019.480000000003"/>
    <x v="4"/>
    <n v="0.91656945701814518"/>
  </r>
  <r>
    <s v="ORD00912"/>
    <s v="2025-02-26"/>
    <x v="2"/>
    <x v="0"/>
    <x v="2"/>
    <x v="911"/>
    <n v="253.84"/>
    <n v="19"/>
    <n v="2781.1299999999997"/>
    <x v="10"/>
    <n v="0.91636161148215622"/>
  </r>
  <r>
    <s v="ORD00913"/>
    <s v="2025-08-30"/>
    <x v="3"/>
    <x v="0"/>
    <x v="1"/>
    <x v="912"/>
    <n v="2194.3000000000002"/>
    <n v="4"/>
    <n v="5233.46"/>
    <x v="0"/>
    <n v="0.7045811927148965"/>
  </r>
  <r>
    <s v="ORD00914"/>
    <s v="2025-09-10"/>
    <x v="1"/>
    <x v="5"/>
    <x v="2"/>
    <x v="913"/>
    <n v="2896.6"/>
    <n v="12"/>
    <n v="7656.4400000000005"/>
    <x v="3"/>
    <n v="0.72551985020430132"/>
  </r>
  <r>
    <s v="ORD00915"/>
    <s v="2025-02-20"/>
    <x v="3"/>
    <x v="1"/>
    <x v="0"/>
    <x v="914"/>
    <n v="557.35"/>
    <n v="20"/>
    <n v="2080.6600000000003"/>
    <x v="10"/>
    <n v="0.78872331795558015"/>
  </r>
  <r>
    <s v="ORD00916"/>
    <s v="2025-06-22"/>
    <x v="1"/>
    <x v="2"/>
    <x v="2"/>
    <x v="915"/>
    <n v="8798.25"/>
    <n v="14"/>
    <n v="30423.239999999998"/>
    <x v="4"/>
    <n v="0.77567782356050219"/>
  </r>
  <r>
    <s v="ORD00917"/>
    <s v="2025-10-13"/>
    <x v="0"/>
    <x v="4"/>
    <x v="0"/>
    <x v="916"/>
    <n v="2283.33"/>
    <n v="6"/>
    <n v="20592.940000000002"/>
    <x v="5"/>
    <n v="0.90018783656601364"/>
  </r>
  <r>
    <s v="ORD00918"/>
    <s v="2025-10-02"/>
    <x v="1"/>
    <x v="4"/>
    <x v="2"/>
    <x v="917"/>
    <n v="3206.69"/>
    <n v="5"/>
    <n v="21534.670000000002"/>
    <x v="5"/>
    <n v="0.87039152253554375"/>
  </r>
  <r>
    <s v="ORD00919"/>
    <s v="2025-01-24"/>
    <x v="2"/>
    <x v="2"/>
    <x v="1"/>
    <x v="918"/>
    <n v="1275.32"/>
    <n v="14"/>
    <n v="8260.880000000001"/>
    <x v="8"/>
    <n v="0.86626538872926329"/>
  </r>
  <r>
    <s v="ORD00920"/>
    <s v="2025-11-25"/>
    <x v="0"/>
    <x v="0"/>
    <x v="0"/>
    <x v="919"/>
    <n v="4967.09"/>
    <n v="4"/>
    <n v="18461.079999999998"/>
    <x v="6"/>
    <n v="0.78798642830404597"/>
  </r>
  <r>
    <s v="ORD00921"/>
    <s v="2025-05-12"/>
    <x v="0"/>
    <x v="5"/>
    <x v="0"/>
    <x v="920"/>
    <n v="10981.42"/>
    <n v="11"/>
    <n v="34372.47"/>
    <x v="7"/>
    <n v="0.75787258821679904"/>
  </r>
  <r>
    <s v="ORD00922"/>
    <s v="2025-04-22"/>
    <x v="0"/>
    <x v="4"/>
    <x v="0"/>
    <x v="921"/>
    <n v="6561.55"/>
    <n v="6"/>
    <n v="32893.919999999998"/>
    <x v="1"/>
    <n v="0.83369733018007386"/>
  </r>
  <r>
    <s v="ORD00923"/>
    <s v="2025-08-16"/>
    <x v="3"/>
    <x v="0"/>
    <x v="0"/>
    <x v="922"/>
    <n v="2549.59"/>
    <n v="13"/>
    <n v="38981.869999999995"/>
    <x v="0"/>
    <n v="0.93861063396278377"/>
  </r>
  <r>
    <s v="ORD00924"/>
    <s v="2025-03-28"/>
    <x v="3"/>
    <x v="2"/>
    <x v="0"/>
    <x v="923"/>
    <n v="2742.06"/>
    <n v="4"/>
    <n v="24494.19"/>
    <x v="9"/>
    <n v="0.89932314470604424"/>
  </r>
  <r>
    <s v="ORD00925"/>
    <s v="2025-09-29"/>
    <x v="1"/>
    <x v="1"/>
    <x v="2"/>
    <x v="924"/>
    <n v="857.45"/>
    <n v="13"/>
    <n v="4857.8"/>
    <x v="3"/>
    <n v="0.84997156729801848"/>
  </r>
  <r>
    <s v="ORD00926"/>
    <s v="2025-12-29"/>
    <x v="3"/>
    <x v="1"/>
    <x v="2"/>
    <x v="925"/>
    <n v="12048.53"/>
    <n v="8"/>
    <n v="29183.010000000002"/>
    <x v="11"/>
    <n v="0.7077836529996212"/>
  </r>
  <r>
    <s v="ORD00927"/>
    <s v="2025-12-02"/>
    <x v="3"/>
    <x v="1"/>
    <x v="1"/>
    <x v="926"/>
    <n v="13328.4"/>
    <n v="14"/>
    <n v="31888.699999999997"/>
    <x v="11"/>
    <n v="0.70523540872811386"/>
  </r>
  <r>
    <s v="ORD00928"/>
    <s v="2025-08-13"/>
    <x v="3"/>
    <x v="0"/>
    <x v="0"/>
    <x v="927"/>
    <n v="2842.66"/>
    <n v="16"/>
    <n v="38021.53"/>
    <x v="0"/>
    <n v="0.93043640409855177"/>
  </r>
  <r>
    <s v="ORD00929"/>
    <s v="2025-05-09"/>
    <x v="3"/>
    <x v="3"/>
    <x v="2"/>
    <x v="928"/>
    <n v="2473.4299999999998"/>
    <n v="7"/>
    <n v="10135.64"/>
    <x v="7"/>
    <n v="0.80383723779787086"/>
  </r>
  <r>
    <s v="ORD00930"/>
    <s v="2025-04-16"/>
    <x v="1"/>
    <x v="4"/>
    <x v="1"/>
    <x v="929"/>
    <n v="8336.5300000000007"/>
    <n v="10"/>
    <n v="24482.959999999999"/>
    <x v="1"/>
    <n v="0.7459884355302292"/>
  </r>
  <r>
    <s v="ORD00931"/>
    <s v="2025-06-24"/>
    <x v="0"/>
    <x v="1"/>
    <x v="1"/>
    <x v="930"/>
    <n v="2856.31"/>
    <n v="17"/>
    <n v="12389.84"/>
    <x v="4"/>
    <n v="0.81265368634048596"/>
  </r>
  <r>
    <s v="ORD00932"/>
    <s v="2025-09-26"/>
    <x v="2"/>
    <x v="0"/>
    <x v="1"/>
    <x v="931"/>
    <n v="4229.3100000000004"/>
    <n v="17"/>
    <n v="19896.939999999999"/>
    <x v="3"/>
    <n v="0.82470089632661514"/>
  </r>
  <r>
    <s v="ORD00933"/>
    <s v="2025-11-12"/>
    <x v="3"/>
    <x v="4"/>
    <x v="2"/>
    <x v="932"/>
    <n v="4754.08"/>
    <n v="15"/>
    <n v="18334.28"/>
    <x v="6"/>
    <n v="0.79409191471373441"/>
  </r>
  <r>
    <s v="ORD00934"/>
    <s v="2025-07-10"/>
    <x v="0"/>
    <x v="5"/>
    <x v="0"/>
    <x v="933"/>
    <n v="5454.05"/>
    <n v="12"/>
    <n v="16226.41"/>
    <x v="2"/>
    <n v="0.74843476568301592"/>
  </r>
  <r>
    <s v="ORD00935"/>
    <s v="2025-10-15"/>
    <x v="2"/>
    <x v="0"/>
    <x v="1"/>
    <x v="934"/>
    <n v="6449.24"/>
    <n v="8"/>
    <n v="16881.47"/>
    <x v="5"/>
    <n v="0.72357292169848242"/>
  </r>
  <r>
    <s v="ORD00936"/>
    <s v="2025-11-15"/>
    <x v="2"/>
    <x v="2"/>
    <x v="1"/>
    <x v="935"/>
    <n v="7043.87"/>
    <n v="1"/>
    <n v="17707.620000000003"/>
    <x v="6"/>
    <n v="0.7154163244313777"/>
  </r>
  <r>
    <s v="ORD00937"/>
    <s v="2025-05-15"/>
    <x v="2"/>
    <x v="2"/>
    <x v="1"/>
    <x v="936"/>
    <n v="1345.69"/>
    <n v="17"/>
    <n v="9869.56"/>
    <x v="7"/>
    <n v="0.88001248300305379"/>
  </r>
  <r>
    <s v="ORD00938"/>
    <s v="2025-08-12"/>
    <x v="3"/>
    <x v="0"/>
    <x v="2"/>
    <x v="937"/>
    <n v="2586.37"/>
    <n v="18"/>
    <n v="33000.369999999995"/>
    <x v="0"/>
    <n v="0.92732208682222639"/>
  </r>
  <r>
    <s v="ORD00939"/>
    <s v="2025-05-08"/>
    <x v="3"/>
    <x v="5"/>
    <x v="2"/>
    <x v="938"/>
    <n v="5907.03"/>
    <n v="15"/>
    <n v="15895.970000000001"/>
    <x v="7"/>
    <n v="0.7290726046874284"/>
  </r>
  <r>
    <s v="ORD00940"/>
    <s v="2025-11-04"/>
    <x v="1"/>
    <x v="0"/>
    <x v="1"/>
    <x v="939"/>
    <n v="2822.86"/>
    <n v="4"/>
    <n v="23757.01"/>
    <x v="6"/>
    <n v="0.89379707274715792"/>
  </r>
  <r>
    <s v="ORD00941"/>
    <s v="2025-09-13"/>
    <x v="2"/>
    <x v="2"/>
    <x v="0"/>
    <x v="940"/>
    <n v="2611.25"/>
    <n v="19"/>
    <n v="17958.55"/>
    <x v="3"/>
    <n v="0.87305418623418796"/>
  </r>
  <r>
    <s v="ORD00942"/>
    <s v="2025-04-13"/>
    <x v="2"/>
    <x v="3"/>
    <x v="1"/>
    <x v="941"/>
    <n v="5476.76"/>
    <n v="15"/>
    <n v="38515.159999999996"/>
    <x v="1"/>
    <n v="0.87550532006786697"/>
  </r>
  <r>
    <s v="ORD00943"/>
    <s v="2025-06-23"/>
    <x v="0"/>
    <x v="2"/>
    <x v="1"/>
    <x v="942"/>
    <n v="2354.12"/>
    <n v="4"/>
    <n v="9523.7799999999988"/>
    <x v="4"/>
    <n v="0.80180671667550651"/>
  </r>
  <r>
    <s v="ORD00944"/>
    <s v="2025-07-18"/>
    <x v="1"/>
    <x v="3"/>
    <x v="1"/>
    <x v="943"/>
    <n v="3328.35"/>
    <n v="3"/>
    <n v="29513.870000000003"/>
    <x v="2"/>
    <n v="0.89865636366847312"/>
  </r>
  <r>
    <s v="ORD00945"/>
    <s v="2025-12-29"/>
    <x v="0"/>
    <x v="5"/>
    <x v="1"/>
    <x v="944"/>
    <n v="2872.42"/>
    <n v="7"/>
    <n v="36417.590000000004"/>
    <x v="11"/>
    <n v="0.92689184858950158"/>
  </r>
  <r>
    <s v="ORD00946"/>
    <s v="2025-10-11"/>
    <x v="2"/>
    <x v="5"/>
    <x v="1"/>
    <x v="945"/>
    <n v="1927.44"/>
    <n v="5"/>
    <n v="15718.22"/>
    <x v="5"/>
    <n v="0.8907697416815239"/>
  </r>
  <r>
    <s v="ORD00947"/>
    <s v="2025-01-13"/>
    <x v="2"/>
    <x v="3"/>
    <x v="2"/>
    <x v="946"/>
    <n v="12206.69"/>
    <n v="12"/>
    <n v="36079.99"/>
    <x v="8"/>
    <n v="0.74720378373497609"/>
  </r>
  <r>
    <s v="ORD00948"/>
    <s v="2025-12-31"/>
    <x v="1"/>
    <x v="2"/>
    <x v="2"/>
    <x v="947"/>
    <n v="774.78"/>
    <n v="5"/>
    <n v="5869.75"/>
    <x v="11"/>
    <n v="0.88339581580638515"/>
  </r>
  <r>
    <s v="ORD00949"/>
    <s v="2025-12-14"/>
    <x v="3"/>
    <x v="1"/>
    <x v="2"/>
    <x v="948"/>
    <n v="6601.73"/>
    <n v="20"/>
    <n v="19219.510000000002"/>
    <x v="11"/>
    <n v="0.74432947449464093"/>
  </r>
  <r>
    <s v="ORD00950"/>
    <s v="2025-06-25"/>
    <x v="2"/>
    <x v="3"/>
    <x v="1"/>
    <x v="949"/>
    <n v="4671.3100000000004"/>
    <n v="2"/>
    <n v="13233.73"/>
    <x v="4"/>
    <n v="0.73910641919816988"/>
  </r>
  <r>
    <s v="ORD00951"/>
    <s v="2025-01-27"/>
    <x v="2"/>
    <x v="1"/>
    <x v="2"/>
    <x v="950"/>
    <n v="1775.14"/>
    <n v="8"/>
    <n v="4287.82"/>
    <x v="8"/>
    <n v="0.70721561745418071"/>
  </r>
  <r>
    <s v="ORD00952"/>
    <s v="2025-08-04"/>
    <x v="2"/>
    <x v="2"/>
    <x v="0"/>
    <x v="951"/>
    <n v="1641.1"/>
    <n v="10"/>
    <n v="4117.2800000000007"/>
    <x v="0"/>
    <n v="0.71500665117619899"/>
  </r>
  <r>
    <s v="ORD00953"/>
    <s v="2025-03-07"/>
    <x v="3"/>
    <x v="4"/>
    <x v="0"/>
    <x v="952"/>
    <n v="4494.0600000000004"/>
    <n v="18"/>
    <n v="28343.26"/>
    <x v="9"/>
    <n v="0.86314169365831317"/>
  </r>
  <r>
    <s v="ORD00954"/>
    <s v="2025-11-09"/>
    <x v="3"/>
    <x v="3"/>
    <x v="1"/>
    <x v="953"/>
    <n v="2641.81"/>
    <n v="19"/>
    <n v="33763.410000000003"/>
    <x v="6"/>
    <n v="0.92743320875412927"/>
  </r>
  <r>
    <s v="ORD00955"/>
    <s v="2025-10-31"/>
    <x v="2"/>
    <x v="2"/>
    <x v="0"/>
    <x v="954"/>
    <n v="5068.6400000000003"/>
    <n v="19"/>
    <n v="25453.600000000002"/>
    <x v="5"/>
    <n v="0.83393617244343798"/>
  </r>
  <r>
    <s v="ORD00956"/>
    <s v="2025-06-29"/>
    <x v="2"/>
    <x v="2"/>
    <x v="2"/>
    <x v="955"/>
    <n v="2633.26"/>
    <n v="11"/>
    <n v="42898.38"/>
    <x v="4"/>
    <n v="0.94216637046238616"/>
  </r>
  <r>
    <s v="ORD00957"/>
    <s v="2025-06-13"/>
    <x v="1"/>
    <x v="1"/>
    <x v="1"/>
    <x v="956"/>
    <n v="4930.28"/>
    <n v="4"/>
    <n v="14011.470000000001"/>
    <x v="4"/>
    <n v="0.73971359562870387"/>
  </r>
  <r>
    <s v="ORD00958"/>
    <s v="2025-07-12"/>
    <x v="0"/>
    <x v="3"/>
    <x v="0"/>
    <x v="957"/>
    <n v="5365.43"/>
    <n v="1"/>
    <n v="34677.56"/>
    <x v="2"/>
    <n v="0.86600825762511735"/>
  </r>
  <r>
    <s v="ORD00959"/>
    <s v="2025-01-20"/>
    <x v="1"/>
    <x v="0"/>
    <x v="1"/>
    <x v="958"/>
    <n v="7988.93"/>
    <n v="19"/>
    <n v="30773.61"/>
    <x v="8"/>
    <n v="0.79390076088925032"/>
  </r>
  <r>
    <s v="ORD00960"/>
    <s v="2025-01-19"/>
    <x v="2"/>
    <x v="3"/>
    <x v="2"/>
    <x v="959"/>
    <n v="5883.4"/>
    <n v="7"/>
    <n v="21945.379999999997"/>
    <x v="8"/>
    <n v="0.78858577343311487"/>
  </r>
  <r>
    <s v="ORD00961"/>
    <s v="2025-03-21"/>
    <x v="0"/>
    <x v="0"/>
    <x v="0"/>
    <x v="960"/>
    <n v="3367.03"/>
    <n v="17"/>
    <n v="45586.51"/>
    <x v="9"/>
    <n v="0.93121988726453697"/>
  </r>
  <r>
    <s v="ORD00962"/>
    <s v="2025-04-12"/>
    <x v="3"/>
    <x v="3"/>
    <x v="1"/>
    <x v="961"/>
    <n v="4911.0600000000004"/>
    <n v="8"/>
    <n v="44918.400000000001"/>
    <x v="1"/>
    <n v="0.90144264055841672"/>
  </r>
  <r>
    <s v="ORD00963"/>
    <s v="2025-06-15"/>
    <x v="1"/>
    <x v="4"/>
    <x v="2"/>
    <x v="962"/>
    <n v="3437.56"/>
    <n v="11"/>
    <n v="15920.289999999999"/>
    <x v="4"/>
    <n v="0.82242036176538202"/>
  </r>
  <r>
    <s v="ORD00964"/>
    <s v="2025-07-12"/>
    <x v="1"/>
    <x v="3"/>
    <x v="1"/>
    <x v="963"/>
    <n v="13056.31"/>
    <n v="10"/>
    <n v="34144.240000000005"/>
    <x v="2"/>
    <n v="0.72338648596255772"/>
  </r>
  <r>
    <s v="ORD00965"/>
    <s v="2025-03-05"/>
    <x v="2"/>
    <x v="5"/>
    <x v="1"/>
    <x v="964"/>
    <n v="1655.5"/>
    <n v="17"/>
    <n v="11019.19"/>
    <x v="9"/>
    <n v="0.86938536563813396"/>
  </r>
  <r>
    <s v="ORD00966"/>
    <s v="2025-05-30"/>
    <x v="2"/>
    <x v="2"/>
    <x v="1"/>
    <x v="965"/>
    <n v="3935.11"/>
    <n v="5"/>
    <n v="27011.559999999998"/>
    <x v="7"/>
    <n v="0.87284221533366912"/>
  </r>
  <r>
    <s v="ORD00967"/>
    <s v="2025-06-17"/>
    <x v="2"/>
    <x v="2"/>
    <x v="0"/>
    <x v="966"/>
    <n v="4692.45"/>
    <n v="9"/>
    <n v="37015.370000000003"/>
    <x v="4"/>
    <n v="0.88749232158381819"/>
  </r>
  <r>
    <s v="ORD00968"/>
    <s v="2025-04-08"/>
    <x v="1"/>
    <x v="1"/>
    <x v="1"/>
    <x v="967"/>
    <n v="2795.64"/>
    <n v="8"/>
    <n v="7761.99"/>
    <x v="1"/>
    <n v="0.73520193452507809"/>
  </r>
  <r>
    <s v="ORD00969"/>
    <s v="2025-06-22"/>
    <x v="2"/>
    <x v="0"/>
    <x v="2"/>
    <x v="968"/>
    <n v="159.38999999999999"/>
    <n v="16"/>
    <n v="780.16"/>
    <x v="4"/>
    <n v="0.83035495716034269"/>
  </r>
  <r>
    <s v="ORD00970"/>
    <s v="2025-07-23"/>
    <x v="3"/>
    <x v="4"/>
    <x v="2"/>
    <x v="969"/>
    <n v="3746.85"/>
    <n v="13"/>
    <n v="12574.65"/>
    <x v="2"/>
    <n v="0.77043470269276715"/>
  </r>
  <r>
    <s v="ORD00971"/>
    <s v="2025-08-15"/>
    <x v="2"/>
    <x v="0"/>
    <x v="0"/>
    <x v="970"/>
    <n v="5591.49"/>
    <n v="2"/>
    <n v="22515.800000000003"/>
    <x v="0"/>
    <n v="0.80106620026334818"/>
  </r>
  <r>
    <s v="ORD00972"/>
    <s v="2025-05-13"/>
    <x v="0"/>
    <x v="2"/>
    <x v="0"/>
    <x v="971"/>
    <n v="1644.93"/>
    <n v="19"/>
    <n v="10466.85"/>
    <x v="7"/>
    <n v="0.86418759257516231"/>
  </r>
  <r>
    <s v="ORD00973"/>
    <s v="2025-12-29"/>
    <x v="3"/>
    <x v="2"/>
    <x v="0"/>
    <x v="972"/>
    <n v="11962.8"/>
    <n v="7"/>
    <n v="28423.99"/>
    <x v="11"/>
    <n v="0.70379423568944199"/>
  </r>
  <r>
    <s v="ORD00974"/>
    <s v="2025-07-27"/>
    <x v="0"/>
    <x v="1"/>
    <x v="0"/>
    <x v="973"/>
    <n v="1309.42"/>
    <n v="9"/>
    <n v="11595.51"/>
    <x v="2"/>
    <n v="0.89853335120763922"/>
  </r>
  <r>
    <s v="ORD00975"/>
    <s v="2025-08-02"/>
    <x v="0"/>
    <x v="3"/>
    <x v="2"/>
    <x v="974"/>
    <n v="5367.96"/>
    <n v="19"/>
    <n v="28045.68"/>
    <x v="0"/>
    <n v="0.83934824221485604"/>
  </r>
  <r>
    <s v="ORD00976"/>
    <s v="2025-01-08"/>
    <x v="2"/>
    <x v="2"/>
    <x v="0"/>
    <x v="975"/>
    <n v="11992.75"/>
    <n v="18"/>
    <n v="30329.65"/>
    <x v="8"/>
    <n v="0.71663350849668261"/>
  </r>
  <r>
    <s v="ORD00977"/>
    <s v="2025-12-06"/>
    <x v="3"/>
    <x v="0"/>
    <x v="1"/>
    <x v="976"/>
    <n v="1489.7"/>
    <n v="17"/>
    <n v="7824.19"/>
    <x v="11"/>
    <n v="0.84005608827246192"/>
  </r>
  <r>
    <s v="ORD00978"/>
    <s v="2025-04-27"/>
    <x v="3"/>
    <x v="1"/>
    <x v="0"/>
    <x v="977"/>
    <n v="4470.68"/>
    <n v="16"/>
    <n v="33043.49"/>
    <x v="1"/>
    <n v="0.88082689820939664"/>
  </r>
  <r>
    <s v="ORD00979"/>
    <s v="2025-01-31"/>
    <x v="0"/>
    <x v="0"/>
    <x v="2"/>
    <x v="978"/>
    <n v="484.39"/>
    <n v="2"/>
    <n v="3054.25"/>
    <x v="8"/>
    <n v="0.86311407772477566"/>
  </r>
  <r>
    <s v="ORD00980"/>
    <s v="2025-12-04"/>
    <x v="2"/>
    <x v="1"/>
    <x v="0"/>
    <x v="979"/>
    <n v="2273.4"/>
    <n v="18"/>
    <n v="20865.149999999998"/>
    <x v="11"/>
    <n v="0.90174838094867649"/>
  </r>
  <r>
    <s v="ORD00981"/>
    <s v="2025-03-11"/>
    <x v="2"/>
    <x v="5"/>
    <x v="2"/>
    <x v="980"/>
    <n v="4712.83"/>
    <n v="10"/>
    <n v="15567.65"/>
    <x v="9"/>
    <n v="0.76761743311795383"/>
  </r>
  <r>
    <s v="ORD00982"/>
    <s v="2025-12-19"/>
    <x v="1"/>
    <x v="2"/>
    <x v="0"/>
    <x v="981"/>
    <n v="3325.94"/>
    <n v="6"/>
    <n v="23177.75"/>
    <x v="11"/>
    <n v="0.87451030403690966"/>
  </r>
  <r>
    <s v="ORD00983"/>
    <s v="2025-07-30"/>
    <x v="0"/>
    <x v="4"/>
    <x v="1"/>
    <x v="982"/>
    <n v="2473.4499999999998"/>
    <n v="18"/>
    <n v="20562.86"/>
    <x v="2"/>
    <n v="0.89262820304119883"/>
  </r>
  <r>
    <s v="ORD00984"/>
    <s v="2025-06-14"/>
    <x v="3"/>
    <x v="5"/>
    <x v="2"/>
    <x v="983"/>
    <n v="6373.25"/>
    <n v="15"/>
    <n v="33529.25"/>
    <x v="4"/>
    <n v="0.8402794311133388"/>
  </r>
  <r>
    <s v="ORD00985"/>
    <s v="2025-06-03"/>
    <x v="1"/>
    <x v="2"/>
    <x v="0"/>
    <x v="984"/>
    <n v="6067.97"/>
    <n v="10"/>
    <n v="43021.82"/>
    <x v="4"/>
    <n v="0.87639038586231477"/>
  </r>
  <r>
    <s v="ORD00986"/>
    <s v="2025-09-22"/>
    <x v="2"/>
    <x v="5"/>
    <x v="0"/>
    <x v="985"/>
    <n v="1771.28"/>
    <n v="7"/>
    <n v="13451.25"/>
    <x v="3"/>
    <n v="0.88364089280822566"/>
  </r>
  <r>
    <s v="ORD00987"/>
    <s v="2025-11-27"/>
    <x v="2"/>
    <x v="0"/>
    <x v="2"/>
    <x v="986"/>
    <n v="3323.81"/>
    <n v="13"/>
    <n v="21915.69"/>
    <x v="6"/>
    <n v="0.86830919788426864"/>
  </r>
  <r>
    <s v="ORD00988"/>
    <s v="2025-11-29"/>
    <x v="1"/>
    <x v="0"/>
    <x v="2"/>
    <x v="987"/>
    <n v="3376.01"/>
    <n v="8"/>
    <n v="12614.88"/>
    <x v="6"/>
    <n v="0.78887916807632341"/>
  </r>
  <r>
    <s v="ORD00989"/>
    <s v="2025-03-14"/>
    <x v="2"/>
    <x v="0"/>
    <x v="0"/>
    <x v="988"/>
    <n v="7174.65"/>
    <n v="2"/>
    <n v="27862.92"/>
    <x v="9"/>
    <n v="0.79522980617662697"/>
  </r>
  <r>
    <s v="ORD00990"/>
    <s v="2025-06-27"/>
    <x v="2"/>
    <x v="3"/>
    <x v="1"/>
    <x v="989"/>
    <n v="2523.36"/>
    <n v="18"/>
    <n v="19240.03"/>
    <x v="4"/>
    <n v="0.88405482785540301"/>
  </r>
  <r>
    <s v="ORD00991"/>
    <s v="2025-04-13"/>
    <x v="3"/>
    <x v="2"/>
    <x v="1"/>
    <x v="990"/>
    <n v="2606.4299999999998"/>
    <n v="5"/>
    <n v="17822.14"/>
    <x v="1"/>
    <n v="0.87241250856031527"/>
  </r>
  <r>
    <s v="ORD00992"/>
    <s v="2025-09-16"/>
    <x v="1"/>
    <x v="1"/>
    <x v="0"/>
    <x v="991"/>
    <n v="1194.79"/>
    <n v="3"/>
    <n v="4588.37"/>
    <x v="3"/>
    <n v="0.79340187717441679"/>
  </r>
  <r>
    <s v="ORD00993"/>
    <s v="2025-01-27"/>
    <x v="0"/>
    <x v="5"/>
    <x v="1"/>
    <x v="992"/>
    <n v="3713.45"/>
    <n v="16"/>
    <n v="44963.770000000004"/>
    <x v="8"/>
    <n v="0.92371277570904831"/>
  </r>
  <r>
    <s v="ORD00994"/>
    <s v="2025-03-27"/>
    <x v="0"/>
    <x v="2"/>
    <x v="1"/>
    <x v="993"/>
    <n v="3629.24"/>
    <n v="11"/>
    <n v="10109.06"/>
    <x v="9"/>
    <n v="0.7358304884883865"/>
  </r>
  <r>
    <s v="ORD00995"/>
    <s v="2025-03-22"/>
    <x v="0"/>
    <x v="1"/>
    <x v="2"/>
    <x v="994"/>
    <n v="1631.08"/>
    <n v="6"/>
    <n v="5937.03"/>
    <x v="9"/>
    <n v="0.78447987674597752"/>
  </r>
  <r>
    <s v="ORD00996"/>
    <s v="2025-07-14"/>
    <x v="1"/>
    <x v="0"/>
    <x v="2"/>
    <x v="995"/>
    <n v="1897.44"/>
    <n v="4"/>
    <n v="30302.09"/>
    <x v="2"/>
    <n v="0.94107243180257605"/>
  </r>
  <r>
    <s v="ORD00997"/>
    <s v="2025-08-30"/>
    <x v="2"/>
    <x v="3"/>
    <x v="2"/>
    <x v="996"/>
    <n v="1175.24"/>
    <n v="17"/>
    <n v="4711.99"/>
    <x v="0"/>
    <n v="0.80037470932849575"/>
  </r>
  <r>
    <s v="ORD00998"/>
    <s v="2025-02-11"/>
    <x v="0"/>
    <x v="5"/>
    <x v="1"/>
    <x v="997"/>
    <n v="2883.93"/>
    <n v="2"/>
    <n v="29040.15"/>
    <x v="10"/>
    <n v="0.90966286264161722"/>
  </r>
  <r>
    <s v="ORD00999"/>
    <s v="2025-03-09"/>
    <x v="3"/>
    <x v="0"/>
    <x v="2"/>
    <x v="998"/>
    <n v="8535.57"/>
    <n v="11"/>
    <n v="25790.18"/>
    <x v="9"/>
    <n v="0.75133624174271507"/>
  </r>
  <r>
    <s v="ORD01000"/>
    <s v="2025-10-13"/>
    <x v="2"/>
    <x v="3"/>
    <x v="0"/>
    <x v="999"/>
    <n v="2925.68"/>
    <n v="3"/>
    <n v="25488.079999999998"/>
    <x v="5"/>
    <n v="0.89703298683454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06C13-4AAC-432D-8B97-27929D4413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fieldListSortAscending="1">
  <location ref="D3:E8" firstHeaderRow="1" firstDataRow="1" firstDataCol="1"/>
  <pivotFields count="11">
    <pivotField showAll="0"/>
    <pivotField showAll="0"/>
    <pivotField axis="axisRow" showAll="0">
      <items count="5">
        <item x="2"/>
        <item x="1"/>
        <item x="3"/>
        <item x="0"/>
        <item t="default"/>
      </items>
    </pivotField>
    <pivotField showAll="0">
      <items count="7">
        <item h="1" x="2"/>
        <item h="1" x="5"/>
        <item h="1" x="1"/>
        <item x="0"/>
        <item h="1" x="3"/>
        <item h="1" x="4"/>
        <item t="default"/>
      </items>
    </pivotField>
    <pivotField showAll="0">
      <items count="4">
        <item h="1" x="1"/>
        <item x="2"/>
        <item h="1" x="0"/>
        <item t="default"/>
      </items>
    </pivotField>
    <pivotField showAll="0"/>
    <pivotField showAll="0"/>
    <pivotField showAll="0"/>
    <pivotField showAll="0"/>
    <pivotField showAll="0">
      <items count="13">
        <item x="8"/>
        <item x="10"/>
        <item x="9"/>
        <item x="1"/>
        <item x="7"/>
        <item x="4"/>
        <item x="2"/>
        <item x="0"/>
        <item x="3"/>
        <item x="5"/>
        <item x="6"/>
        <item x="11"/>
        <item t="default"/>
      </items>
    </pivotField>
    <pivotField dataField="1" numFmtId="10" showAll="0"/>
  </pivotFields>
  <rowFields count="1">
    <field x="2"/>
  </rowFields>
  <rowItems count="5">
    <i>
      <x/>
    </i>
    <i>
      <x v="1"/>
    </i>
    <i>
      <x v="2"/>
    </i>
    <i>
      <x v="3"/>
    </i>
    <i t="grand">
      <x/>
    </i>
  </rowItems>
  <colItems count="1">
    <i/>
  </colItems>
  <dataFields count="1">
    <dataField name="Region by Average Margin Profi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9989F-A862-4EC9-9F15-894D3A5212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3">
    <pivotField showAll="0"/>
    <pivotField showAll="0"/>
    <pivotField showAll="0">
      <items count="5">
        <item x="2"/>
        <item x="1"/>
        <item x="3"/>
        <item x="0"/>
        <item t="default"/>
      </items>
    </pivotField>
    <pivotField axis="axisRow" showAll="0">
      <items count="7">
        <item x="2"/>
        <item x="5"/>
        <item x="1"/>
        <item x="0"/>
        <item x="3"/>
        <item x="4"/>
        <item t="default"/>
      </items>
    </pivotField>
    <pivotField showAll="0"/>
    <pivotField dataField="1" showAll="0"/>
    <pivotField showAll="0"/>
    <pivotField showAll="0"/>
    <pivotField showAll="0"/>
    <pivotField showAll="0"/>
    <pivotField numFmtId="10" showAll="0"/>
    <pivotField showAll="0"/>
    <pivotField showAll="0"/>
  </pivotFields>
  <rowFields count="1">
    <field x="3"/>
  </rowFields>
  <rowItems count="7">
    <i>
      <x/>
    </i>
    <i>
      <x v="1"/>
    </i>
    <i>
      <x v="2"/>
    </i>
    <i>
      <x v="3"/>
    </i>
    <i>
      <x v="4"/>
    </i>
    <i>
      <x v="5"/>
    </i>
    <i t="grand">
      <x/>
    </i>
  </rowItems>
  <colItems count="1">
    <i/>
  </colItems>
  <dataFields count="1">
    <dataField name="Total Sales Amount"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866520-3CC0-487A-94C2-3FC93FE5831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H13:I15" firstHeaderRow="1" firstDataRow="1" firstDataCol="1"/>
  <pivotFields count="11">
    <pivotField showAll="0"/>
    <pivotField showAll="0"/>
    <pivotField showAll="0"/>
    <pivotField axis="axisRow" showAll="0" sortType="ascending">
      <items count="7">
        <item h="1" x="2"/>
        <item h="1" x="5"/>
        <item h="1" x="1"/>
        <item x="0"/>
        <item h="1" x="3"/>
        <item h="1" x="4"/>
        <item t="default"/>
      </items>
      <autoSortScope>
        <pivotArea dataOnly="0" outline="0" fieldPosition="0">
          <references count="1">
            <reference field="4294967294" count="1" selected="0">
              <x v="0"/>
            </reference>
          </references>
        </pivotArea>
      </autoSortScope>
    </pivotField>
    <pivotField showAll="0">
      <items count="4">
        <item h="1" x="1"/>
        <item x="2"/>
        <item h="1" x="0"/>
        <item t="default"/>
      </items>
    </pivotField>
    <pivotField showAll="0"/>
    <pivotField showAll="0"/>
    <pivotField showAll="0"/>
    <pivotField showAll="0"/>
    <pivotField dataField="1" showAll="0">
      <items count="13">
        <item x="8"/>
        <item x="10"/>
        <item x="9"/>
        <item x="1"/>
        <item x="7"/>
        <item x="4"/>
        <item x="2"/>
        <item x="0"/>
        <item x="3"/>
        <item x="5"/>
        <item x="6"/>
        <item x="11"/>
        <item t="default"/>
      </items>
    </pivotField>
    <pivotField numFmtId="10" showAll="0"/>
  </pivotFields>
  <rowFields count="1">
    <field x="3"/>
  </rowFields>
  <rowItems count="2">
    <i>
      <x v="3"/>
    </i>
    <i t="grand">
      <x/>
    </i>
  </rowItems>
  <colItems count="1">
    <i/>
  </colItems>
  <dataFields count="1">
    <dataField name="Count of Months" fld="9" subtotal="count"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F8F4C-794C-4849-86DD-B121C1F2E82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
  <location ref="D13:E15" firstHeaderRow="1" firstDataRow="1" firstDataCol="1"/>
  <pivotFields count="11">
    <pivotField showAll="0"/>
    <pivotField showAll="0"/>
    <pivotField showAll="0">
      <items count="5">
        <item x="2"/>
        <item x="1"/>
        <item x="3"/>
        <item x="0"/>
        <item t="default"/>
      </items>
    </pivotField>
    <pivotField axis="axisRow" showAll="0">
      <items count="7">
        <item h="1" x="2"/>
        <item h="1" x="5"/>
        <item h="1" x="1"/>
        <item x="0"/>
        <item h="1" x="3"/>
        <item h="1" x="4"/>
        <item t="default"/>
      </items>
    </pivotField>
    <pivotField dataField="1" showAll="0">
      <items count="4">
        <item h="1" x="1"/>
        <item x="2"/>
        <item h="1" x="0"/>
        <item t="default"/>
      </items>
    </pivotField>
    <pivotField showAll="0"/>
    <pivotField showAll="0"/>
    <pivotField showAll="0"/>
    <pivotField showAll="0"/>
    <pivotField showAll="0">
      <items count="13">
        <item x="8"/>
        <item x="10"/>
        <item x="9"/>
        <item x="1"/>
        <item x="7"/>
        <item x="4"/>
        <item x="2"/>
        <item x="0"/>
        <item x="3"/>
        <item x="5"/>
        <item x="6"/>
        <item x="11"/>
        <item t="default"/>
      </items>
    </pivotField>
    <pivotField numFmtId="10" showAll="0"/>
  </pivotFields>
  <rowFields count="1">
    <field x="3"/>
  </rowFields>
  <rowItems count="2">
    <i>
      <x v="3"/>
    </i>
    <i t="grand">
      <x/>
    </i>
  </rowItems>
  <colItems count="1">
    <i/>
  </colItems>
  <dataFields count="1">
    <dataField name="Count of Category" fld="4"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DFF7E7-5C62-4762-8C64-DC715DB2745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4:B19" firstHeaderRow="1" firstDataRow="1" firstDataCol="1"/>
  <pivotFields count="11">
    <pivotField showAll="0"/>
    <pivotField showAll="0"/>
    <pivotField axis="axisRow" showAll="0">
      <items count="5">
        <item x="2"/>
        <item x="1"/>
        <item x="3"/>
        <item x="0"/>
        <item t="default"/>
      </items>
    </pivotField>
    <pivotField showAll="0">
      <items count="7">
        <item h="1" x="2"/>
        <item h="1" x="5"/>
        <item h="1" x="1"/>
        <item x="0"/>
        <item h="1" x="3"/>
        <item h="1" x="4"/>
        <item t="default"/>
      </items>
    </pivotField>
    <pivotField dataField="1" showAll="0">
      <items count="4">
        <item h="1" x="1"/>
        <item x="2"/>
        <item h="1" x="0"/>
        <item t="default"/>
      </items>
    </pivotField>
    <pivotField showAll="0"/>
    <pivotField showAll="0"/>
    <pivotField showAll="0"/>
    <pivotField showAll="0"/>
    <pivotField showAll="0">
      <items count="13">
        <item x="8"/>
        <item x="10"/>
        <item x="9"/>
        <item x="1"/>
        <item x="7"/>
        <item x="4"/>
        <item x="2"/>
        <item x="0"/>
        <item x="3"/>
        <item x="5"/>
        <item x="6"/>
        <item x="11"/>
        <item t="default"/>
      </items>
    </pivotField>
    <pivotField numFmtId="10" showAll="0"/>
  </pivotFields>
  <rowFields count="1">
    <field x="2"/>
  </rowFields>
  <rowItems count="5">
    <i>
      <x/>
    </i>
    <i>
      <x v="1"/>
    </i>
    <i>
      <x v="2"/>
    </i>
    <i>
      <x v="3"/>
    </i>
    <i t="grand">
      <x/>
    </i>
  </rowItems>
  <colItems count="1">
    <i/>
  </colItems>
  <dataFields count="1">
    <dataField name="Count of Category" fld="4"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4703C4-A97B-4CB7-9922-BD017B98622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5" firstHeaderRow="1" firstDataRow="1" firstDataCol="1"/>
  <pivotFields count="11">
    <pivotField showAll="0"/>
    <pivotField showAll="0"/>
    <pivotField showAll="0"/>
    <pivotField axis="axisRow" showAll="0">
      <items count="7">
        <item h="1" x="2"/>
        <item h="1" x="5"/>
        <item h="1" x="1"/>
        <item x="0"/>
        <item h="1" x="3"/>
        <item h="1" x="4"/>
        <item t="default"/>
      </items>
    </pivotField>
    <pivotField showAll="0">
      <items count="4">
        <item h="1" x="1"/>
        <item x="2"/>
        <item h="1" x="0"/>
        <item t="default"/>
      </items>
    </pivotField>
    <pivotField showAll="0"/>
    <pivotField showAll="0"/>
    <pivotField showAll="0"/>
    <pivotField showAll="0"/>
    <pivotField dataField="1" showAll="0">
      <items count="13">
        <item x="8"/>
        <item x="10"/>
        <item x="9"/>
        <item x="1"/>
        <item x="7"/>
        <item x="4"/>
        <item x="2"/>
        <item x="0"/>
        <item x="3"/>
        <item x="5"/>
        <item x="6"/>
        <item x="11"/>
        <item t="default"/>
      </items>
    </pivotField>
    <pivotField numFmtId="10" showAll="0"/>
  </pivotFields>
  <rowFields count="1">
    <field x="3"/>
  </rowFields>
  <rowItems count="2">
    <i>
      <x v="3"/>
    </i>
    <i t="grand">
      <x/>
    </i>
  </rowItems>
  <colItems count="1">
    <i/>
  </colItems>
  <dataFields count="1">
    <dataField name="Monthly "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FD0B47-114B-4CE4-AB5D-0B254166938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B16" firstHeaderRow="1" firstDataRow="1" firstDataCol="1"/>
  <pivotFields count="11">
    <pivotField showAll="0"/>
    <pivotField showAll="0"/>
    <pivotField showAll="0">
      <items count="5">
        <item x="2"/>
        <item x="1"/>
        <item x="3"/>
        <item x="0"/>
        <item t="default"/>
      </items>
    </pivotField>
    <pivotField dataField="1" showAll="0">
      <items count="7">
        <item h="1" x="2"/>
        <item h="1" x="5"/>
        <item h="1" x="1"/>
        <item x="0"/>
        <item h="1" x="3"/>
        <item h="1" x="4"/>
        <item t="default"/>
      </items>
    </pivotField>
    <pivotField showAll="0">
      <items count="4">
        <item h="1" x="1"/>
        <item x="2"/>
        <item h="1" x="0"/>
        <item t="default"/>
      </items>
    </pivotField>
    <pivotField showAll="0">
      <items count="1001">
        <item x="228"/>
        <item x="202"/>
        <item x="518"/>
        <item x="280"/>
        <item x="968"/>
        <item x="57"/>
        <item x="452"/>
        <item x="658"/>
        <item x="443"/>
        <item x="620"/>
        <item x="657"/>
        <item x="859"/>
        <item x="515"/>
        <item x="507"/>
        <item x="409"/>
        <item x="709"/>
        <item x="543"/>
        <item x="359"/>
        <item x="558"/>
        <item x="648"/>
        <item x="422"/>
        <item x="681"/>
        <item x="767"/>
        <item x="317"/>
        <item x="787"/>
        <item x="516"/>
        <item x="213"/>
        <item x="248"/>
        <item x="686"/>
        <item x="676"/>
        <item x="470"/>
        <item x="896"/>
        <item x="914"/>
        <item x="591"/>
        <item x="471"/>
        <item x="485"/>
        <item x="362"/>
        <item x="500"/>
        <item x="788"/>
        <item x="2"/>
        <item x="284"/>
        <item x="180"/>
        <item x="911"/>
        <item x="298"/>
        <item x="554"/>
        <item x="81"/>
        <item x="630"/>
        <item x="978"/>
        <item x="774"/>
        <item x="416"/>
        <item x="218"/>
        <item x="100"/>
        <item x="755"/>
        <item x="0"/>
        <item x="726"/>
        <item x="545"/>
        <item x="520"/>
        <item x="450"/>
        <item x="122"/>
        <item x="146"/>
        <item x="772"/>
        <item x="462"/>
        <item x="369"/>
        <item x="419"/>
        <item x="316"/>
        <item x="846"/>
        <item x="279"/>
        <item x="313"/>
        <item x="708"/>
        <item x="249"/>
        <item x="753"/>
        <item x="596"/>
        <item x="433"/>
        <item x="597"/>
        <item x="651"/>
        <item x="355"/>
        <item x="408"/>
        <item x="486"/>
        <item x="782"/>
        <item x="230"/>
        <item x="232"/>
        <item x="330"/>
        <item x="834"/>
        <item x="924"/>
        <item x="951"/>
        <item x="991"/>
        <item x="241"/>
        <item x="808"/>
        <item x="996"/>
        <item x="816"/>
        <item x="950"/>
        <item x="619"/>
        <item x="872"/>
        <item x="93"/>
        <item x="308"/>
        <item x="604"/>
        <item x="728"/>
        <item x="189"/>
        <item x="463"/>
        <item x="466"/>
        <item x="179"/>
        <item x="256"/>
        <item x="749"/>
        <item x="83"/>
        <item x="589"/>
        <item x="133"/>
        <item x="436"/>
        <item x="128"/>
        <item x="947"/>
        <item x="461"/>
        <item x="372"/>
        <item x="650"/>
        <item x="482"/>
        <item x="727"/>
        <item x="110"/>
        <item x="817"/>
        <item x="687"/>
        <item x="912"/>
        <item x="822"/>
        <item x="327"/>
        <item x="692"/>
        <item x="994"/>
        <item x="763"/>
        <item x="663"/>
        <item x="131"/>
        <item x="793"/>
        <item x="76"/>
        <item x="395"/>
        <item x="715"/>
        <item x="297"/>
        <item x="447"/>
        <item x="441"/>
        <item x="188"/>
        <item x="547"/>
        <item x="216"/>
        <item x="506"/>
        <item x="200"/>
        <item x="402"/>
        <item x="684"/>
        <item x="283"/>
        <item x="127"/>
        <item x="219"/>
        <item x="528"/>
        <item x="321"/>
        <item x="150"/>
        <item x="632"/>
        <item x="532"/>
        <item x="25"/>
        <item x="413"/>
        <item x="713"/>
        <item x="706"/>
        <item x="646"/>
        <item x="976"/>
        <item x="671"/>
        <item x="889"/>
        <item x="113"/>
        <item x="918"/>
        <item x="16"/>
        <item x="288"/>
        <item x="582"/>
        <item x="412"/>
        <item x="796"/>
        <item x="769"/>
        <item x="577"/>
        <item x="566"/>
        <item x="347"/>
        <item x="699"/>
        <item x="177"/>
        <item x="719"/>
        <item x="255"/>
        <item x="553"/>
        <item x="70"/>
        <item x="913"/>
        <item x="967"/>
        <item x="157"/>
        <item x="815"/>
        <item x="350"/>
        <item x="438"/>
        <item x="154"/>
        <item x="571"/>
        <item x="831"/>
        <item x="41"/>
        <item x="480"/>
        <item x="539"/>
        <item x="259"/>
        <item x="544"/>
        <item x="335"/>
        <item x="165"/>
        <item x="319"/>
        <item x="839"/>
        <item x="936"/>
        <item x="677"/>
        <item x="197"/>
        <item x="633"/>
        <item x="141"/>
        <item x="741"/>
        <item x="898"/>
        <item x="602"/>
        <item x="565"/>
        <item x="423"/>
        <item x="863"/>
        <item x="778"/>
        <item x="524"/>
        <item x="942"/>
        <item x="195"/>
        <item x="365"/>
        <item x="80"/>
        <item x="38"/>
        <item x="339"/>
        <item x="338"/>
        <item x="971"/>
        <item x="108"/>
        <item x="444"/>
        <item x="28"/>
        <item x="400"/>
        <item x="322"/>
        <item x="403"/>
        <item x="928"/>
        <item x="231"/>
        <item x="168"/>
        <item x="964"/>
        <item x="668"/>
        <item x="388"/>
        <item x="239"/>
        <item x="176"/>
        <item x="546"/>
        <item x="864"/>
        <item x="973"/>
        <item x="27"/>
        <item x="764"/>
        <item x="724"/>
        <item x="712"/>
        <item x="842"/>
        <item x="456"/>
        <item x="326"/>
        <item x="748"/>
        <item x="91"/>
        <item x="401"/>
        <item x="790"/>
        <item x="243"/>
        <item x="879"/>
        <item x="745"/>
        <item x="993"/>
        <item x="794"/>
        <item x="300"/>
        <item x="628"/>
        <item x="799"/>
        <item x="181"/>
        <item x="281"/>
        <item x="86"/>
        <item x="811"/>
        <item x="534"/>
        <item x="173"/>
        <item x="691"/>
        <item x="731"/>
        <item x="292"/>
        <item x="449"/>
        <item x="465"/>
        <item x="564"/>
        <item x="563"/>
        <item x="118"/>
        <item x="106"/>
        <item x="505"/>
        <item x="907"/>
        <item x="825"/>
        <item x="734"/>
        <item x="185"/>
        <item x="662"/>
        <item x="318"/>
        <item x="78"/>
        <item x="510"/>
        <item x="274"/>
        <item x="714"/>
        <item x="375"/>
        <item x="421"/>
        <item x="381"/>
        <item x="985"/>
        <item x="930"/>
        <item x="246"/>
        <item x="10"/>
        <item x="792"/>
        <item x="368"/>
        <item x="396"/>
        <item x="432"/>
        <item x="117"/>
        <item x="675"/>
        <item x="337"/>
        <item x="481"/>
        <item x="464"/>
        <item x="469"/>
        <item x="837"/>
        <item x="637"/>
        <item x="467"/>
        <item x="987"/>
        <item x="892"/>
        <item x="238"/>
        <item x="394"/>
        <item x="54"/>
        <item x="273"/>
        <item x="645"/>
        <item x="689"/>
        <item x="336"/>
        <item x="126"/>
        <item x="969"/>
        <item x="149"/>
        <item x="527"/>
        <item x="693"/>
        <item x="263"/>
        <item x="484"/>
        <item x="525"/>
        <item x="152"/>
        <item x="75"/>
        <item x="538"/>
        <item x="609"/>
        <item x="271"/>
        <item x="206"/>
        <item x="5"/>
        <item x="877"/>
        <item x="286"/>
        <item x="626"/>
        <item x="29"/>
        <item x="487"/>
        <item x="116"/>
        <item x="885"/>
        <item x="828"/>
        <item x="654"/>
        <item x="694"/>
        <item x="679"/>
        <item x="293"/>
        <item x="245"/>
        <item x="610"/>
        <item x="265"/>
        <item x="623"/>
        <item x="590"/>
        <item x="264"/>
        <item x="605"/>
        <item x="431"/>
        <item x="945"/>
        <item x="134"/>
        <item x="514"/>
        <item x="561"/>
        <item x="268"/>
        <item x="949"/>
        <item x="673"/>
        <item x="73"/>
        <item x="473"/>
        <item x="477"/>
        <item x="356"/>
        <item x="659"/>
        <item x="824"/>
        <item x="641"/>
        <item x="901"/>
        <item x="761"/>
        <item x="768"/>
        <item x="11"/>
        <item x="112"/>
        <item x="349"/>
        <item x="261"/>
        <item x="468"/>
        <item x="474"/>
        <item x="956"/>
        <item x="624"/>
        <item x="105"/>
        <item x="428"/>
        <item x="607"/>
        <item x="711"/>
        <item x="101"/>
        <item x="35"/>
        <item x="302"/>
        <item x="806"/>
        <item x="191"/>
        <item x="962"/>
        <item x="902"/>
        <item x="760"/>
        <item x="244"/>
        <item x="107"/>
        <item x="584"/>
        <item x="34"/>
        <item x="351"/>
        <item x="77"/>
        <item x="266"/>
        <item x="130"/>
        <item x="389"/>
        <item x="752"/>
        <item x="325"/>
        <item x="666"/>
        <item x="437"/>
        <item x="570"/>
        <item x="333"/>
        <item x="847"/>
        <item x="340"/>
        <item x="821"/>
        <item x="980"/>
        <item x="164"/>
        <item x="871"/>
        <item x="990"/>
        <item x="418"/>
        <item x="775"/>
        <item x="940"/>
        <item x="836"/>
        <item x="640"/>
        <item x="20"/>
        <item x="430"/>
        <item x="737"/>
        <item x="592"/>
        <item x="502"/>
        <item x="252"/>
        <item x="226"/>
        <item x="44"/>
        <item x="366"/>
        <item x="382"/>
        <item x="833"/>
        <item x="398"/>
        <item x="783"/>
        <item x="390"/>
        <item x="740"/>
        <item x="851"/>
        <item x="220"/>
        <item x="324"/>
        <item x="407"/>
        <item x="556"/>
        <item x="270"/>
        <item x="278"/>
        <item x="233"/>
        <item x="84"/>
        <item x="137"/>
        <item x="933"/>
        <item x="989"/>
        <item x="495"/>
        <item x="938"/>
        <item x="304"/>
        <item x="148"/>
        <item x="442"/>
        <item x="586"/>
        <item x="299"/>
        <item x="702"/>
        <item x="649"/>
        <item x="488"/>
        <item x="65"/>
        <item x="13"/>
        <item x="497"/>
        <item x="56"/>
        <item x="765"/>
        <item x="315"/>
        <item x="18"/>
        <item x="250"/>
        <item x="198"/>
        <item x="69"/>
        <item x="258"/>
        <item x="916"/>
        <item x="385"/>
        <item x="192"/>
        <item x="79"/>
        <item x="982"/>
        <item x="932"/>
        <item x="439"/>
        <item x="979"/>
        <item x="746"/>
        <item x="562"/>
        <item x="827"/>
        <item x="541"/>
        <item x="934"/>
        <item x="742"/>
        <item x="779"/>
        <item x="720"/>
        <item x="580"/>
        <item x="579"/>
        <item x="919"/>
        <item x="262"/>
        <item x="458"/>
        <item x="378"/>
        <item x="680"/>
        <item x="199"/>
        <item x="159"/>
        <item x="533"/>
        <item x="172"/>
        <item x="529"/>
        <item x="826"/>
        <item x="537"/>
        <item x="12"/>
        <item x="795"/>
        <item x="306"/>
        <item x="94"/>
        <item x="803"/>
        <item x="358"/>
        <item x="194"/>
        <item x="931"/>
        <item x="49"/>
        <item x="387"/>
        <item x="844"/>
        <item x="773"/>
        <item x="214"/>
        <item x="805"/>
        <item x="309"/>
        <item x="144"/>
        <item x="917"/>
        <item x="935"/>
        <item x="410"/>
        <item x="759"/>
        <item x="457"/>
        <item x="882"/>
        <item x="285"/>
        <item x="512"/>
        <item x="445"/>
        <item x="874"/>
        <item x="986"/>
        <item x="800"/>
        <item x="379"/>
        <item x="39"/>
        <item x="129"/>
        <item x="845"/>
        <item x="490"/>
        <item x="636"/>
        <item x="823"/>
        <item x="862"/>
        <item x="479"/>
        <item x="138"/>
        <item x="835"/>
        <item x="948"/>
        <item x="352"/>
        <item x="509"/>
        <item x="227"/>
        <item x="136"/>
        <item x="147"/>
        <item x="290"/>
        <item x="575"/>
        <item x="254"/>
        <item x="789"/>
        <item x="494"/>
        <item x="615"/>
        <item x="981"/>
        <item x="595"/>
        <item x="939"/>
        <item x="829"/>
        <item x="785"/>
        <item x="301"/>
        <item x="503"/>
        <item x="718"/>
        <item x="208"/>
        <item x="435"/>
        <item x="460"/>
        <item x="875"/>
        <item x="415"/>
        <item x="446"/>
        <item x="376"/>
        <item x="683"/>
        <item x="652"/>
        <item x="30"/>
        <item x="74"/>
        <item x="151"/>
        <item x="688"/>
        <item x="923"/>
        <item x="229"/>
        <item x="685"/>
        <item x="15"/>
        <item x="167"/>
        <item x="599"/>
        <item x="890"/>
        <item x="87"/>
        <item x="900"/>
        <item x="332"/>
        <item x="343"/>
        <item x="786"/>
        <item x="959"/>
        <item x="643"/>
        <item x="682"/>
        <item x="736"/>
        <item x="807"/>
        <item x="970"/>
        <item x="867"/>
        <item x="784"/>
        <item x="66"/>
        <item x="348"/>
        <item x="209"/>
        <item x="878"/>
        <item x="275"/>
        <item x="999"/>
        <item x="653"/>
        <item x="269"/>
        <item x="832"/>
        <item x="739"/>
        <item x="417"/>
        <item x="253"/>
        <item x="906"/>
        <item x="115"/>
        <item x="858"/>
        <item x="237"/>
        <item x="162"/>
        <item x="909"/>
        <item x="36"/>
        <item x="344"/>
        <item x="627"/>
        <item x="451"/>
        <item x="392"/>
        <item x="551"/>
        <item x="750"/>
        <item x="380"/>
        <item x="399"/>
        <item x="453"/>
        <item x="848"/>
        <item x="614"/>
        <item x="276"/>
        <item x="427"/>
        <item x="102"/>
        <item x="904"/>
        <item x="870"/>
        <item x="908"/>
        <item x="723"/>
        <item x="722"/>
        <item x="411"/>
        <item x="166"/>
        <item x="893"/>
        <item x="954"/>
        <item x="187"/>
        <item x="549"/>
        <item x="43"/>
        <item x="323"/>
        <item x="224"/>
        <item x="776"/>
        <item x="965"/>
        <item x="223"/>
        <item x="21"/>
        <item x="725"/>
        <item x="881"/>
        <item x="583"/>
        <item x="656"/>
        <item x="291"/>
        <item x="287"/>
        <item x="158"/>
        <item x="68"/>
        <item x="660"/>
        <item x="47"/>
        <item x="700"/>
        <item x="757"/>
        <item x="55"/>
        <item x="707"/>
        <item x="85"/>
        <item x="542"/>
        <item x="997"/>
        <item x="393"/>
        <item x="53"/>
        <item x="853"/>
        <item x="156"/>
        <item x="217"/>
        <item x="995"/>
        <item x="267"/>
        <item x="905"/>
        <item x="868"/>
        <item x="45"/>
        <item x="698"/>
        <item x="517"/>
        <item x="777"/>
        <item x="894"/>
        <item x="454"/>
        <item x="504"/>
        <item x="58"/>
        <item x="929"/>
        <item x="952"/>
        <item x="943"/>
        <item x="581"/>
        <item x="367"/>
        <item x="860"/>
        <item x="354"/>
        <item x="37"/>
        <item x="855"/>
        <item x="622"/>
        <item x="222"/>
        <item x="363"/>
        <item x="621"/>
        <item x="974"/>
        <item x="98"/>
        <item x="346"/>
        <item x="758"/>
        <item x="513"/>
        <item x="690"/>
        <item x="540"/>
        <item x="770"/>
        <item x="307"/>
        <item x="210"/>
        <item x="370"/>
        <item x="132"/>
        <item x="998"/>
        <item x="791"/>
        <item x="472"/>
        <item x="873"/>
        <item x="420"/>
        <item x="888"/>
        <item x="260"/>
        <item x="593"/>
        <item x="9"/>
        <item x="883"/>
        <item x="585"/>
        <item x="190"/>
        <item x="60"/>
        <item x="345"/>
        <item x="235"/>
        <item x="7"/>
        <item x="751"/>
        <item x="988"/>
        <item x="612"/>
        <item x="135"/>
        <item x="111"/>
        <item x="567"/>
        <item x="448"/>
        <item x="14"/>
        <item x="145"/>
        <item x="695"/>
        <item x="247"/>
        <item x="371"/>
        <item x="294"/>
        <item x="762"/>
        <item x="426"/>
        <item x="744"/>
        <item x="678"/>
        <item x="40"/>
        <item x="618"/>
        <item x="665"/>
        <item x="937"/>
        <item x="88"/>
        <item x="798"/>
        <item x="203"/>
        <item x="311"/>
        <item x="644"/>
        <item x="142"/>
        <item x="295"/>
        <item x="52"/>
        <item x="374"/>
        <item x="526"/>
        <item x="51"/>
        <item x="236"/>
        <item x="429"/>
        <item x="953"/>
        <item x="616"/>
        <item x="364"/>
        <item x="802"/>
        <item x="414"/>
        <item x="754"/>
        <item x="897"/>
        <item x="606"/>
        <item x="240"/>
        <item x="242"/>
        <item x="704"/>
        <item x="48"/>
        <item x="743"/>
        <item x="523"/>
        <item x="314"/>
        <item x="163"/>
        <item x="63"/>
        <item x="32"/>
        <item x="361"/>
        <item x="578"/>
        <item x="856"/>
        <item x="82"/>
        <item x="104"/>
        <item x="716"/>
        <item x="491"/>
        <item x="977"/>
        <item x="587"/>
        <item x="812"/>
        <item x="125"/>
        <item x="674"/>
        <item x="17"/>
        <item x="891"/>
        <item x="819"/>
        <item x="895"/>
        <item x="603"/>
        <item x="531"/>
        <item x="664"/>
        <item x="89"/>
        <item x="521"/>
        <item x="215"/>
        <item x="225"/>
        <item x="601"/>
        <item x="574"/>
        <item x="331"/>
        <item x="522"/>
        <item x="498"/>
        <item x="608"/>
        <item x="96"/>
        <item x="496"/>
        <item x="182"/>
        <item x="639"/>
        <item x="95"/>
        <item x="814"/>
        <item x="305"/>
        <item x="62"/>
        <item x="123"/>
        <item x="670"/>
        <item x="493"/>
        <item x="866"/>
        <item x="201"/>
        <item x="958"/>
        <item x="600"/>
        <item x="140"/>
        <item x="97"/>
        <item x="373"/>
        <item x="880"/>
        <item x="282"/>
        <item x="915"/>
        <item x="944"/>
        <item x="459"/>
        <item x="861"/>
        <item x="921"/>
        <item x="804"/>
        <item x="536"/>
        <item x="655"/>
        <item x="221"/>
        <item x="59"/>
        <item x="557"/>
        <item x="90"/>
        <item x="647"/>
        <item x="733"/>
        <item x="3"/>
        <item x="766"/>
        <item x="377"/>
        <item x="535"/>
        <item x="983"/>
        <item x="957"/>
        <item x="478"/>
        <item x="334"/>
        <item x="234"/>
        <item x="121"/>
        <item x="830"/>
        <item x="697"/>
        <item x="588"/>
        <item x="771"/>
        <item x="972"/>
        <item x="289"/>
        <item x="573"/>
        <item x="475"/>
        <item x="530"/>
        <item x="852"/>
        <item x="732"/>
        <item x="174"/>
        <item x="927"/>
        <item x="730"/>
        <item x="813"/>
        <item x="838"/>
        <item x="342"/>
        <item x="310"/>
        <item x="384"/>
        <item x="440"/>
        <item x="925"/>
        <item x="6"/>
        <item x="922"/>
        <item x="966"/>
        <item x="489"/>
        <item x="781"/>
        <item x="884"/>
        <item x="143"/>
        <item x="617"/>
        <item x="809"/>
        <item x="552"/>
        <item x="975"/>
        <item x="303"/>
        <item x="386"/>
        <item x="548"/>
        <item x="383"/>
        <item x="476"/>
        <item x="207"/>
        <item x="910"/>
        <item x="312"/>
        <item x="120"/>
        <item x="629"/>
        <item x="360"/>
        <item x="33"/>
        <item x="251"/>
        <item x="887"/>
        <item x="405"/>
        <item x="153"/>
        <item x="204"/>
        <item x="72"/>
        <item x="576"/>
        <item x="865"/>
        <item x="701"/>
        <item x="820"/>
        <item x="175"/>
        <item x="598"/>
        <item x="642"/>
        <item x="849"/>
        <item x="705"/>
        <item x="501"/>
        <item x="205"/>
        <item x="178"/>
        <item x="840"/>
        <item x="569"/>
        <item x="161"/>
        <item x="941"/>
        <item x="24"/>
        <item x="139"/>
        <item x="212"/>
        <item x="320"/>
        <item x="661"/>
        <item x="296"/>
        <item x="818"/>
        <item x="170"/>
        <item x="61"/>
        <item x="455"/>
        <item x="555"/>
        <item x="857"/>
        <item x="594"/>
        <item x="926"/>
        <item x="277"/>
        <item x="4"/>
        <item x="780"/>
        <item x="920"/>
        <item x="391"/>
        <item x="186"/>
        <item x="406"/>
        <item x="508"/>
        <item x="717"/>
        <item x="434"/>
        <item x="955"/>
        <item x="171"/>
        <item x="483"/>
        <item x="560"/>
        <item x="634"/>
        <item x="119"/>
        <item x="841"/>
        <item x="8"/>
        <item x="46"/>
        <item x="23"/>
        <item x="738"/>
        <item x="559"/>
        <item x="568"/>
        <item x="183"/>
        <item x="854"/>
        <item x="1"/>
        <item x="211"/>
        <item x="424"/>
        <item x="109"/>
        <item x="19"/>
        <item x="903"/>
        <item x="341"/>
        <item x="492"/>
        <item x="638"/>
        <item x="31"/>
        <item x="353"/>
        <item x="810"/>
        <item x="963"/>
        <item x="669"/>
        <item x="184"/>
        <item x="169"/>
        <item x="611"/>
        <item x="67"/>
        <item x="572"/>
        <item x="850"/>
        <item x="397"/>
        <item x="196"/>
        <item x="193"/>
        <item x="550"/>
        <item x="869"/>
        <item x="635"/>
        <item x="519"/>
        <item x="631"/>
        <item x="625"/>
        <item x="26"/>
        <item x="64"/>
        <item x="511"/>
        <item x="946"/>
        <item x="50"/>
        <item x="696"/>
        <item x="499"/>
        <item x="103"/>
        <item x="756"/>
        <item x="71"/>
        <item x="124"/>
        <item x="992"/>
        <item x="404"/>
        <item x="22"/>
        <item x="160"/>
        <item x="721"/>
        <item x="886"/>
        <item x="329"/>
        <item x="960"/>
        <item x="328"/>
        <item x="672"/>
        <item x="984"/>
        <item x="797"/>
        <item x="710"/>
        <item x="155"/>
        <item x="425"/>
        <item x="667"/>
        <item x="272"/>
        <item x="729"/>
        <item x="876"/>
        <item x="735"/>
        <item x="257"/>
        <item x="92"/>
        <item x="114"/>
        <item x="613"/>
        <item x="42"/>
        <item x="703"/>
        <item x="961"/>
        <item x="899"/>
        <item x="99"/>
        <item x="843"/>
        <item x="801"/>
        <item x="357"/>
        <item x="747"/>
        <item t="default"/>
      </items>
    </pivotField>
    <pivotField showAll="0"/>
    <pivotField showAll="0"/>
    <pivotField showAll="0"/>
    <pivotField axis="axisRow" showAll="0">
      <items count="13">
        <item sd="0" x="8"/>
        <item sd="0" x="10"/>
        <item sd="0" x="9"/>
        <item sd="0" x="1"/>
        <item sd="0" x="7"/>
        <item sd="0" x="4"/>
        <item sd="0" x="2"/>
        <item sd="0" x="0"/>
        <item sd="0" x="3"/>
        <item sd="0" x="5"/>
        <item sd="0" x="6"/>
        <item sd="0" x="11"/>
        <item t="default"/>
      </items>
    </pivotField>
    <pivotField numFmtId="10" showAll="0"/>
  </pivotFields>
  <rowFields count="1">
    <field x="9"/>
  </rowFields>
  <rowItems count="13">
    <i>
      <x/>
    </i>
    <i>
      <x v="1"/>
    </i>
    <i>
      <x v="2"/>
    </i>
    <i>
      <x v="3"/>
    </i>
    <i>
      <x v="4"/>
    </i>
    <i>
      <x v="5"/>
    </i>
    <i>
      <x v="6"/>
    </i>
    <i>
      <x v="7"/>
    </i>
    <i>
      <x v="8"/>
    </i>
    <i>
      <x v="9"/>
    </i>
    <i>
      <x v="10"/>
    </i>
    <i>
      <x v="11"/>
    </i>
    <i t="grand">
      <x/>
    </i>
  </rowItems>
  <colItems count="1">
    <i/>
  </colItems>
  <dataFields count="1">
    <dataField name="Month wise product "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261AE0-14B9-4F0D-9FE5-FEB71063181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C4" firstHeaderRow="0" firstDataRow="1" firstDataCol="0"/>
  <pivotFields count="11">
    <pivotField showAll="0"/>
    <pivotField showAll="0"/>
    <pivotField showAll="0"/>
    <pivotField showAll="0">
      <items count="7">
        <item h="1" x="2"/>
        <item h="1" x="5"/>
        <item h="1" x="1"/>
        <item x="0"/>
        <item h="1" x="3"/>
        <item h="1" x="4"/>
        <item t="default"/>
      </items>
    </pivotField>
    <pivotField showAll="0">
      <items count="4">
        <item h="1" x="1"/>
        <item x="2"/>
        <item h="1" x="0"/>
        <item t="default"/>
      </items>
    </pivotField>
    <pivotField dataField="1" showAll="0"/>
    <pivotField dataField="1" showAll="0"/>
    <pivotField dataField="1" showAll="0"/>
    <pivotField showAll="0"/>
    <pivotField showAll="0">
      <items count="13">
        <item x="8"/>
        <item x="10"/>
        <item x="9"/>
        <item x="1"/>
        <item x="7"/>
        <item x="4"/>
        <item x="2"/>
        <item x="0"/>
        <item x="3"/>
        <item x="5"/>
        <item x="6"/>
        <item x="11"/>
        <item t="default"/>
      </items>
    </pivotField>
    <pivotField numFmtId="10" showAll="0"/>
  </pivotFields>
  <rowItems count="1">
    <i/>
  </rowItems>
  <colFields count="1">
    <field x="-2"/>
  </colFields>
  <colItems count="3">
    <i>
      <x/>
    </i>
    <i i="1">
      <x v="1"/>
    </i>
    <i i="2">
      <x v="2"/>
    </i>
  </colItems>
  <dataFields count="3">
    <dataField name="Sum of Quantity" fld="7" baseField="0" baseItem="0"/>
    <dataField name="Sum of Profit" fld="6" baseField="0" baseItem="0"/>
    <dataField name="Sum of Sales_Amount" fld="5" baseField="0" baseItem="0"/>
  </dataFields>
  <formats count="2">
    <format dxfId="43">
      <pivotArea outline="0" collapsedLevelsAreSubtotals="1" fieldPosition="0"/>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5F979B-30D8-4D6A-A09A-21F305F58E6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s">
  <location ref="A3:C5" firstHeaderRow="0" firstDataRow="1" firstDataCol="1"/>
  <pivotFields count="11">
    <pivotField showAll="0"/>
    <pivotField showAll="0"/>
    <pivotField dataField="1" showAll="0">
      <items count="5">
        <item x="2"/>
        <item x="1"/>
        <item x="3"/>
        <item x="0"/>
        <item t="default"/>
      </items>
    </pivotField>
    <pivotField axis="axisRow" showAll="0">
      <items count="7">
        <item h="1" x="2"/>
        <item h="1" x="5"/>
        <item h="1" x="1"/>
        <item x="0"/>
        <item h="1" x="3"/>
        <item h="1" x="4"/>
        <item t="default"/>
      </items>
    </pivotField>
    <pivotField showAll="0">
      <items count="4">
        <item h="1" x="1"/>
        <item x="2"/>
        <item h="1" x="0"/>
        <item t="default"/>
      </items>
    </pivotField>
    <pivotField showAll="0"/>
    <pivotField showAll="0"/>
    <pivotField showAll="0"/>
    <pivotField showAll="0"/>
    <pivotField dataField="1" showAll="0">
      <items count="13">
        <item x="8"/>
        <item x="10"/>
        <item x="9"/>
        <item x="1"/>
        <item x="7"/>
        <item x="4"/>
        <item x="2"/>
        <item x="0"/>
        <item x="3"/>
        <item x="5"/>
        <item x="6"/>
        <item x="11"/>
        <item t="default"/>
      </items>
    </pivotField>
    <pivotField numFmtId="10" showAll="0"/>
  </pivotFields>
  <rowFields count="1">
    <field x="3"/>
  </rowFields>
  <rowItems count="2">
    <i>
      <x v="3"/>
    </i>
    <i t="grand">
      <x/>
    </i>
  </rowItems>
  <colFields count="1">
    <field x="-2"/>
  </colFields>
  <colItems count="2">
    <i>
      <x/>
    </i>
    <i i="1">
      <x v="1"/>
    </i>
  </colItems>
  <dataFields count="2">
    <dataField name="Region Wise" fld="2" subtotal="count" baseField="0" baseItem="0"/>
    <dataField name="Month Wise sales" fld="9" subtotal="count" baseField="0" baseItem="0"/>
  </dataField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5" format="20">
      <pivotArea type="data" outline="0" fieldPosition="0">
        <references count="2">
          <reference field="4294967294" count="1" selected="0">
            <x v="0"/>
          </reference>
          <reference field="3" count="1" selected="0">
            <x v="3"/>
          </reference>
        </references>
      </pivotArea>
    </chartFormat>
    <chartFormat chart="5" format="21">
      <pivotArea type="data" outline="0" fieldPosition="0">
        <references count="2">
          <reference field="4294967294" count="1" selected="0">
            <x v="0"/>
          </reference>
          <reference field="3" count="1" selected="0">
            <x v="4"/>
          </reference>
        </references>
      </pivotArea>
    </chartFormat>
    <chartFormat chart="5" format="22">
      <pivotArea type="data" outline="0" fieldPosition="0">
        <references count="2">
          <reference field="4294967294" count="1" selected="0">
            <x v="0"/>
          </reference>
          <reference field="3" count="1" selected="0">
            <x v="5"/>
          </reference>
        </references>
      </pivotArea>
    </chartFormat>
    <chartFormat chart="5" format="23" series="1">
      <pivotArea type="data" outline="0" fieldPosition="0">
        <references count="1">
          <reference field="4294967294" count="1" selected="0">
            <x v="1"/>
          </reference>
        </references>
      </pivotArea>
    </chartFormat>
    <chartFormat chart="5" format="24">
      <pivotArea type="data" outline="0" fieldPosition="0">
        <references count="2">
          <reference field="4294967294" count="1" selected="0">
            <x v="1"/>
          </reference>
          <reference field="3" count="1" selected="0">
            <x v="0"/>
          </reference>
        </references>
      </pivotArea>
    </chartFormat>
    <chartFormat chart="5" format="25">
      <pivotArea type="data" outline="0" fieldPosition="0">
        <references count="2">
          <reference field="4294967294" count="1" selected="0">
            <x v="1"/>
          </reference>
          <reference field="3" count="1" selected="0">
            <x v="1"/>
          </reference>
        </references>
      </pivotArea>
    </chartFormat>
    <chartFormat chart="5" format="26">
      <pivotArea type="data" outline="0" fieldPosition="0">
        <references count="2">
          <reference field="4294967294" count="1" selected="0">
            <x v="1"/>
          </reference>
          <reference field="3" count="1" selected="0">
            <x v="2"/>
          </reference>
        </references>
      </pivotArea>
    </chartFormat>
    <chartFormat chart="5" format="27">
      <pivotArea type="data" outline="0" fieldPosition="0">
        <references count="2">
          <reference field="4294967294" count="1" selected="0">
            <x v="1"/>
          </reference>
          <reference field="3" count="1" selected="0">
            <x v="3"/>
          </reference>
        </references>
      </pivotArea>
    </chartFormat>
    <chartFormat chart="5" format="28">
      <pivotArea type="data" outline="0" fieldPosition="0">
        <references count="2">
          <reference field="4294967294" count="1" selected="0">
            <x v="1"/>
          </reference>
          <reference field="3" count="1" selected="0">
            <x v="4"/>
          </reference>
        </references>
      </pivotArea>
    </chartFormat>
    <chartFormat chart="5" format="29">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DF321C-9A7A-4AAD-BC3C-3370C3995CD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A3:D16" firstHeaderRow="0" firstDataRow="1" firstDataCol="1"/>
  <pivotFields count="11">
    <pivotField showAll="0"/>
    <pivotField showAll="0"/>
    <pivotField showAll="0"/>
    <pivotField showAll="0">
      <items count="7">
        <item h="1" x="2"/>
        <item h="1" x="5"/>
        <item h="1" x="1"/>
        <item x="0"/>
        <item h="1" x="3"/>
        <item h="1" x="4"/>
        <item t="default"/>
      </items>
    </pivotField>
    <pivotField showAll="0">
      <items count="4">
        <item h="1" x="1"/>
        <item x="2"/>
        <item h="1" x="0"/>
        <item t="default"/>
      </items>
    </pivotField>
    <pivotField showAll="0"/>
    <pivotField dataField="1" showAll="0"/>
    <pivotField dataField="1" showAll="0"/>
    <pivotField dataField="1" showAll="0"/>
    <pivotField axis="axisRow" showAll="0">
      <items count="13">
        <item x="8"/>
        <item x="10"/>
        <item x="9"/>
        <item x="1"/>
        <item x="7"/>
        <item x="4"/>
        <item x="2"/>
        <item x="0"/>
        <item x="3"/>
        <item x="5"/>
        <item x="6"/>
        <item x="11"/>
        <item t="default"/>
      </items>
    </pivotField>
    <pivotField numFmtId="10" showAll="0"/>
  </pivotFields>
  <rowFields count="1">
    <field x="9"/>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Margins" fld="8" baseField="0" baseItem="0"/>
    <dataField name="Total Profit" fld="6" baseField="0" baseItem="0"/>
    <dataField name="Total Qty. Sold" fld="7" baseField="0" baseItem="0"/>
  </dataFields>
  <formats count="2">
    <format dxfId="41">
      <pivotArea field="9" type="button" dataOnly="0" labelOnly="1" outline="0" axis="axisRow" fieldPosition="0"/>
    </format>
    <format dxfId="40">
      <pivotArea dataOnly="0" labelOnly="1" outline="0" fieldPosition="0">
        <references count="1">
          <reference field="4294967294" count="3">
            <x v="0"/>
            <x v="1"/>
            <x v="2"/>
          </reference>
        </references>
      </pivotArea>
    </format>
  </formats>
  <chartFormats count="8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9" count="1" selected="0">
            <x v="0"/>
          </reference>
        </references>
      </pivotArea>
    </chartFormat>
    <chartFormat chart="6" format="5">
      <pivotArea type="data" outline="0" fieldPosition="0">
        <references count="2">
          <reference field="4294967294" count="1" selected="0">
            <x v="0"/>
          </reference>
          <reference field="9" count="1" selected="0">
            <x v="1"/>
          </reference>
        </references>
      </pivotArea>
    </chartFormat>
    <chartFormat chart="6" format="6">
      <pivotArea type="data" outline="0" fieldPosition="0">
        <references count="2">
          <reference field="4294967294" count="1" selected="0">
            <x v="0"/>
          </reference>
          <reference field="9" count="1" selected="0">
            <x v="2"/>
          </reference>
        </references>
      </pivotArea>
    </chartFormat>
    <chartFormat chart="6" format="7">
      <pivotArea type="data" outline="0" fieldPosition="0">
        <references count="2">
          <reference field="4294967294" count="1" selected="0">
            <x v="0"/>
          </reference>
          <reference field="9" count="1" selected="0">
            <x v="4"/>
          </reference>
        </references>
      </pivotArea>
    </chartFormat>
    <chartFormat chart="6" format="8">
      <pivotArea type="data" outline="0" fieldPosition="0">
        <references count="2">
          <reference field="4294967294" count="1" selected="0">
            <x v="0"/>
          </reference>
          <reference field="9" count="1" selected="0">
            <x v="5"/>
          </reference>
        </references>
      </pivotArea>
    </chartFormat>
    <chartFormat chart="6" format="9">
      <pivotArea type="data" outline="0" fieldPosition="0">
        <references count="2">
          <reference field="4294967294" count="1" selected="0">
            <x v="0"/>
          </reference>
          <reference field="9" count="1" selected="0">
            <x v="6"/>
          </reference>
        </references>
      </pivotArea>
    </chartFormat>
    <chartFormat chart="6" format="10">
      <pivotArea type="data" outline="0" fieldPosition="0">
        <references count="2">
          <reference field="4294967294" count="1" selected="0">
            <x v="0"/>
          </reference>
          <reference field="9" count="1" selected="0">
            <x v="7"/>
          </reference>
        </references>
      </pivotArea>
    </chartFormat>
    <chartFormat chart="6" format="11">
      <pivotArea type="data" outline="0" fieldPosition="0">
        <references count="2">
          <reference field="4294967294" count="1" selected="0">
            <x v="0"/>
          </reference>
          <reference field="9" count="1" selected="0">
            <x v="8"/>
          </reference>
        </references>
      </pivotArea>
    </chartFormat>
    <chartFormat chart="6" format="12">
      <pivotArea type="data" outline="0" fieldPosition="0">
        <references count="2">
          <reference field="4294967294" count="1" selected="0">
            <x v="0"/>
          </reference>
          <reference field="9" count="1" selected="0">
            <x v="9"/>
          </reference>
        </references>
      </pivotArea>
    </chartFormat>
    <chartFormat chart="6" format="13">
      <pivotArea type="data" outline="0" fieldPosition="0">
        <references count="2">
          <reference field="4294967294" count="1" selected="0">
            <x v="0"/>
          </reference>
          <reference field="9" count="1" selected="0">
            <x v="10"/>
          </reference>
        </references>
      </pivotArea>
    </chartFormat>
    <chartFormat chart="6" format="14">
      <pivotArea type="data" outline="0" fieldPosition="0">
        <references count="2">
          <reference field="4294967294" count="1" selected="0">
            <x v="0"/>
          </reference>
          <reference field="9" count="1" selected="0">
            <x v="1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9" count="1" selected="0">
            <x v="0"/>
          </reference>
        </references>
      </pivotArea>
    </chartFormat>
    <chartFormat chart="6" format="17">
      <pivotArea type="data" outline="0" fieldPosition="0">
        <references count="2">
          <reference field="4294967294" count="1" selected="0">
            <x v="1"/>
          </reference>
          <reference field="9" count="1" selected="0">
            <x v="1"/>
          </reference>
        </references>
      </pivotArea>
    </chartFormat>
    <chartFormat chart="6" format="18">
      <pivotArea type="data" outline="0" fieldPosition="0">
        <references count="2">
          <reference field="4294967294" count="1" selected="0">
            <x v="1"/>
          </reference>
          <reference field="9" count="1" selected="0">
            <x v="2"/>
          </reference>
        </references>
      </pivotArea>
    </chartFormat>
    <chartFormat chart="6" format="19">
      <pivotArea type="data" outline="0" fieldPosition="0">
        <references count="2">
          <reference field="4294967294" count="1" selected="0">
            <x v="1"/>
          </reference>
          <reference field="9" count="1" selected="0">
            <x v="4"/>
          </reference>
        </references>
      </pivotArea>
    </chartFormat>
    <chartFormat chart="6" format="20">
      <pivotArea type="data" outline="0" fieldPosition="0">
        <references count="2">
          <reference field="4294967294" count="1" selected="0">
            <x v="1"/>
          </reference>
          <reference field="9" count="1" selected="0">
            <x v="5"/>
          </reference>
        </references>
      </pivotArea>
    </chartFormat>
    <chartFormat chart="6" format="21">
      <pivotArea type="data" outline="0" fieldPosition="0">
        <references count="2">
          <reference field="4294967294" count="1" selected="0">
            <x v="1"/>
          </reference>
          <reference field="9" count="1" selected="0">
            <x v="6"/>
          </reference>
        </references>
      </pivotArea>
    </chartFormat>
    <chartFormat chart="6" format="22">
      <pivotArea type="data" outline="0" fieldPosition="0">
        <references count="2">
          <reference field="4294967294" count="1" selected="0">
            <x v="1"/>
          </reference>
          <reference field="9" count="1" selected="0">
            <x v="7"/>
          </reference>
        </references>
      </pivotArea>
    </chartFormat>
    <chartFormat chart="6" format="23">
      <pivotArea type="data" outline="0" fieldPosition="0">
        <references count="2">
          <reference field="4294967294" count="1" selected="0">
            <x v="1"/>
          </reference>
          <reference field="9" count="1" selected="0">
            <x v="8"/>
          </reference>
        </references>
      </pivotArea>
    </chartFormat>
    <chartFormat chart="6" format="24">
      <pivotArea type="data" outline="0" fieldPosition="0">
        <references count="2">
          <reference field="4294967294" count="1" selected="0">
            <x v="1"/>
          </reference>
          <reference field="9" count="1" selected="0">
            <x v="9"/>
          </reference>
        </references>
      </pivotArea>
    </chartFormat>
    <chartFormat chart="6" format="25">
      <pivotArea type="data" outline="0" fieldPosition="0">
        <references count="2">
          <reference field="4294967294" count="1" selected="0">
            <x v="1"/>
          </reference>
          <reference field="9" count="1" selected="0">
            <x v="10"/>
          </reference>
        </references>
      </pivotArea>
    </chartFormat>
    <chartFormat chart="6" format="26">
      <pivotArea type="data" outline="0" fieldPosition="0">
        <references count="2">
          <reference field="4294967294" count="1" selected="0">
            <x v="1"/>
          </reference>
          <reference field="9" count="1" selected="0">
            <x v="11"/>
          </reference>
        </references>
      </pivotArea>
    </chartFormat>
    <chartFormat chart="6" format="27" series="1">
      <pivotArea type="data" outline="0" fieldPosition="0">
        <references count="1">
          <reference field="4294967294" count="1" selected="0">
            <x v="2"/>
          </reference>
        </references>
      </pivotArea>
    </chartFormat>
    <chartFormat chart="6" format="28">
      <pivotArea type="data" outline="0" fieldPosition="0">
        <references count="2">
          <reference field="4294967294" count="1" selected="0">
            <x v="2"/>
          </reference>
          <reference field="9" count="1" selected="0">
            <x v="0"/>
          </reference>
        </references>
      </pivotArea>
    </chartFormat>
    <chartFormat chart="6" format="29">
      <pivotArea type="data" outline="0" fieldPosition="0">
        <references count="2">
          <reference field="4294967294" count="1" selected="0">
            <x v="2"/>
          </reference>
          <reference field="9" count="1" selected="0">
            <x v="1"/>
          </reference>
        </references>
      </pivotArea>
    </chartFormat>
    <chartFormat chart="6" format="30">
      <pivotArea type="data" outline="0" fieldPosition="0">
        <references count="2">
          <reference field="4294967294" count="1" selected="0">
            <x v="2"/>
          </reference>
          <reference field="9" count="1" selected="0">
            <x v="2"/>
          </reference>
        </references>
      </pivotArea>
    </chartFormat>
    <chartFormat chart="6" format="31">
      <pivotArea type="data" outline="0" fieldPosition="0">
        <references count="2">
          <reference field="4294967294" count="1" selected="0">
            <x v="2"/>
          </reference>
          <reference field="9" count="1" selected="0">
            <x v="4"/>
          </reference>
        </references>
      </pivotArea>
    </chartFormat>
    <chartFormat chart="6" format="32">
      <pivotArea type="data" outline="0" fieldPosition="0">
        <references count="2">
          <reference field="4294967294" count="1" selected="0">
            <x v="2"/>
          </reference>
          <reference field="9" count="1" selected="0">
            <x v="5"/>
          </reference>
        </references>
      </pivotArea>
    </chartFormat>
    <chartFormat chart="6" format="33">
      <pivotArea type="data" outline="0" fieldPosition="0">
        <references count="2">
          <reference field="4294967294" count="1" selected="0">
            <x v="2"/>
          </reference>
          <reference field="9" count="1" selected="0">
            <x v="6"/>
          </reference>
        </references>
      </pivotArea>
    </chartFormat>
    <chartFormat chart="6" format="34">
      <pivotArea type="data" outline="0" fieldPosition="0">
        <references count="2">
          <reference field="4294967294" count="1" selected="0">
            <x v="2"/>
          </reference>
          <reference field="9" count="1" selected="0">
            <x v="7"/>
          </reference>
        </references>
      </pivotArea>
    </chartFormat>
    <chartFormat chart="6" format="35">
      <pivotArea type="data" outline="0" fieldPosition="0">
        <references count="2">
          <reference field="4294967294" count="1" selected="0">
            <x v="2"/>
          </reference>
          <reference field="9" count="1" selected="0">
            <x v="8"/>
          </reference>
        </references>
      </pivotArea>
    </chartFormat>
    <chartFormat chart="6" format="36">
      <pivotArea type="data" outline="0" fieldPosition="0">
        <references count="2">
          <reference field="4294967294" count="1" selected="0">
            <x v="2"/>
          </reference>
          <reference field="9" count="1" selected="0">
            <x v="9"/>
          </reference>
        </references>
      </pivotArea>
    </chartFormat>
    <chartFormat chart="6" format="37">
      <pivotArea type="data" outline="0" fieldPosition="0">
        <references count="2">
          <reference field="4294967294" count="1" selected="0">
            <x v="2"/>
          </reference>
          <reference field="9" count="1" selected="0">
            <x v="10"/>
          </reference>
        </references>
      </pivotArea>
    </chartFormat>
    <chartFormat chart="6" format="38">
      <pivotArea type="data" outline="0" fieldPosition="0">
        <references count="2">
          <reference field="4294967294" count="1" selected="0">
            <x v="2"/>
          </reference>
          <reference field="9" count="1" selected="0">
            <x v="11"/>
          </reference>
        </references>
      </pivotArea>
    </chartFormat>
    <chartFormat chart="7" format="39" series="1">
      <pivotArea type="data" outline="0" fieldPosition="0">
        <references count="1">
          <reference field="4294967294" count="1" selected="0">
            <x v="0"/>
          </reference>
        </references>
      </pivotArea>
    </chartFormat>
    <chartFormat chart="7" format="40">
      <pivotArea type="data" outline="0" fieldPosition="0">
        <references count="2">
          <reference field="4294967294" count="1" selected="0">
            <x v="0"/>
          </reference>
          <reference field="9" count="1" selected="0">
            <x v="0"/>
          </reference>
        </references>
      </pivotArea>
    </chartFormat>
    <chartFormat chart="7" format="41">
      <pivotArea type="data" outline="0" fieldPosition="0">
        <references count="2">
          <reference field="4294967294" count="1" selected="0">
            <x v="0"/>
          </reference>
          <reference field="9" count="1" selected="0">
            <x v="1"/>
          </reference>
        </references>
      </pivotArea>
    </chartFormat>
    <chartFormat chart="7" format="42">
      <pivotArea type="data" outline="0" fieldPosition="0">
        <references count="2">
          <reference field="4294967294" count="1" selected="0">
            <x v="0"/>
          </reference>
          <reference field="9" count="1" selected="0">
            <x v="2"/>
          </reference>
        </references>
      </pivotArea>
    </chartFormat>
    <chartFormat chart="7" format="43">
      <pivotArea type="data" outline="0" fieldPosition="0">
        <references count="2">
          <reference field="4294967294" count="1" selected="0">
            <x v="0"/>
          </reference>
          <reference field="9" count="1" selected="0">
            <x v="4"/>
          </reference>
        </references>
      </pivotArea>
    </chartFormat>
    <chartFormat chart="7" format="44">
      <pivotArea type="data" outline="0" fieldPosition="0">
        <references count="2">
          <reference field="4294967294" count="1" selected="0">
            <x v="0"/>
          </reference>
          <reference field="9" count="1" selected="0">
            <x v="5"/>
          </reference>
        </references>
      </pivotArea>
    </chartFormat>
    <chartFormat chart="7" format="45">
      <pivotArea type="data" outline="0" fieldPosition="0">
        <references count="2">
          <reference field="4294967294" count="1" selected="0">
            <x v="0"/>
          </reference>
          <reference field="9" count="1" selected="0">
            <x v="6"/>
          </reference>
        </references>
      </pivotArea>
    </chartFormat>
    <chartFormat chart="7" format="46">
      <pivotArea type="data" outline="0" fieldPosition="0">
        <references count="2">
          <reference field="4294967294" count="1" selected="0">
            <x v="0"/>
          </reference>
          <reference field="9" count="1" selected="0">
            <x v="7"/>
          </reference>
        </references>
      </pivotArea>
    </chartFormat>
    <chartFormat chart="7" format="47">
      <pivotArea type="data" outline="0" fieldPosition="0">
        <references count="2">
          <reference field="4294967294" count="1" selected="0">
            <x v="0"/>
          </reference>
          <reference field="9" count="1" selected="0">
            <x v="8"/>
          </reference>
        </references>
      </pivotArea>
    </chartFormat>
    <chartFormat chart="7" format="48">
      <pivotArea type="data" outline="0" fieldPosition="0">
        <references count="2">
          <reference field="4294967294" count="1" selected="0">
            <x v="0"/>
          </reference>
          <reference field="9" count="1" selected="0">
            <x v="9"/>
          </reference>
        </references>
      </pivotArea>
    </chartFormat>
    <chartFormat chart="7" format="49">
      <pivotArea type="data" outline="0" fieldPosition="0">
        <references count="2">
          <reference field="4294967294" count="1" selected="0">
            <x v="0"/>
          </reference>
          <reference field="9" count="1" selected="0">
            <x v="10"/>
          </reference>
        </references>
      </pivotArea>
    </chartFormat>
    <chartFormat chart="7" format="50">
      <pivotArea type="data" outline="0" fieldPosition="0">
        <references count="2">
          <reference field="4294967294" count="1" selected="0">
            <x v="0"/>
          </reference>
          <reference field="9" count="1" selected="0">
            <x v="11"/>
          </reference>
        </references>
      </pivotArea>
    </chartFormat>
    <chartFormat chart="7" format="51" series="1">
      <pivotArea type="data" outline="0" fieldPosition="0">
        <references count="1">
          <reference field="4294967294" count="1" selected="0">
            <x v="1"/>
          </reference>
        </references>
      </pivotArea>
    </chartFormat>
    <chartFormat chart="7" format="52">
      <pivotArea type="data" outline="0" fieldPosition="0">
        <references count="2">
          <reference field="4294967294" count="1" selected="0">
            <x v="1"/>
          </reference>
          <reference field="9" count="1" selected="0">
            <x v="0"/>
          </reference>
        </references>
      </pivotArea>
    </chartFormat>
    <chartFormat chart="7" format="53">
      <pivotArea type="data" outline="0" fieldPosition="0">
        <references count="2">
          <reference field="4294967294" count="1" selected="0">
            <x v="1"/>
          </reference>
          <reference field="9" count="1" selected="0">
            <x v="1"/>
          </reference>
        </references>
      </pivotArea>
    </chartFormat>
    <chartFormat chart="7" format="54">
      <pivotArea type="data" outline="0" fieldPosition="0">
        <references count="2">
          <reference field="4294967294" count="1" selected="0">
            <x v="1"/>
          </reference>
          <reference field="9" count="1" selected="0">
            <x v="2"/>
          </reference>
        </references>
      </pivotArea>
    </chartFormat>
    <chartFormat chart="7" format="55">
      <pivotArea type="data" outline="0" fieldPosition="0">
        <references count="2">
          <reference field="4294967294" count="1" selected="0">
            <x v="1"/>
          </reference>
          <reference field="9" count="1" selected="0">
            <x v="4"/>
          </reference>
        </references>
      </pivotArea>
    </chartFormat>
    <chartFormat chart="7" format="56">
      <pivotArea type="data" outline="0" fieldPosition="0">
        <references count="2">
          <reference field="4294967294" count="1" selected="0">
            <x v="1"/>
          </reference>
          <reference field="9" count="1" selected="0">
            <x v="5"/>
          </reference>
        </references>
      </pivotArea>
    </chartFormat>
    <chartFormat chart="7" format="57">
      <pivotArea type="data" outline="0" fieldPosition="0">
        <references count="2">
          <reference field="4294967294" count="1" selected="0">
            <x v="1"/>
          </reference>
          <reference field="9" count="1" selected="0">
            <x v="6"/>
          </reference>
        </references>
      </pivotArea>
    </chartFormat>
    <chartFormat chart="7" format="58">
      <pivotArea type="data" outline="0" fieldPosition="0">
        <references count="2">
          <reference field="4294967294" count="1" selected="0">
            <x v="1"/>
          </reference>
          <reference field="9" count="1" selected="0">
            <x v="7"/>
          </reference>
        </references>
      </pivotArea>
    </chartFormat>
    <chartFormat chart="7" format="59">
      <pivotArea type="data" outline="0" fieldPosition="0">
        <references count="2">
          <reference field="4294967294" count="1" selected="0">
            <x v="1"/>
          </reference>
          <reference field="9" count="1" selected="0">
            <x v="8"/>
          </reference>
        </references>
      </pivotArea>
    </chartFormat>
    <chartFormat chart="7" format="60">
      <pivotArea type="data" outline="0" fieldPosition="0">
        <references count="2">
          <reference field="4294967294" count="1" selected="0">
            <x v="1"/>
          </reference>
          <reference field="9" count="1" selected="0">
            <x v="9"/>
          </reference>
        </references>
      </pivotArea>
    </chartFormat>
    <chartFormat chart="7" format="61">
      <pivotArea type="data" outline="0" fieldPosition="0">
        <references count="2">
          <reference field="4294967294" count="1" selected="0">
            <x v="1"/>
          </reference>
          <reference field="9" count="1" selected="0">
            <x v="10"/>
          </reference>
        </references>
      </pivotArea>
    </chartFormat>
    <chartFormat chart="7" format="62">
      <pivotArea type="data" outline="0" fieldPosition="0">
        <references count="2">
          <reference field="4294967294" count="1" selected="0">
            <x v="1"/>
          </reference>
          <reference field="9" count="1" selected="0">
            <x v="11"/>
          </reference>
        </references>
      </pivotArea>
    </chartFormat>
    <chartFormat chart="7" format="63" series="1">
      <pivotArea type="data" outline="0" fieldPosition="0">
        <references count="1">
          <reference field="4294967294" count="1" selected="0">
            <x v="2"/>
          </reference>
        </references>
      </pivotArea>
    </chartFormat>
    <chartFormat chart="7" format="64">
      <pivotArea type="data" outline="0" fieldPosition="0">
        <references count="2">
          <reference field="4294967294" count="1" selected="0">
            <x v="2"/>
          </reference>
          <reference field="9" count="1" selected="0">
            <x v="0"/>
          </reference>
        </references>
      </pivotArea>
    </chartFormat>
    <chartFormat chart="7" format="65">
      <pivotArea type="data" outline="0" fieldPosition="0">
        <references count="2">
          <reference field="4294967294" count="1" selected="0">
            <x v="2"/>
          </reference>
          <reference field="9" count="1" selected="0">
            <x v="1"/>
          </reference>
        </references>
      </pivotArea>
    </chartFormat>
    <chartFormat chart="7" format="66">
      <pivotArea type="data" outline="0" fieldPosition="0">
        <references count="2">
          <reference field="4294967294" count="1" selected="0">
            <x v="2"/>
          </reference>
          <reference field="9" count="1" selected="0">
            <x v="2"/>
          </reference>
        </references>
      </pivotArea>
    </chartFormat>
    <chartFormat chart="7" format="67">
      <pivotArea type="data" outline="0" fieldPosition="0">
        <references count="2">
          <reference field="4294967294" count="1" selected="0">
            <x v="2"/>
          </reference>
          <reference field="9" count="1" selected="0">
            <x v="4"/>
          </reference>
        </references>
      </pivotArea>
    </chartFormat>
    <chartFormat chart="7" format="68">
      <pivotArea type="data" outline="0" fieldPosition="0">
        <references count="2">
          <reference field="4294967294" count="1" selected="0">
            <x v="2"/>
          </reference>
          <reference field="9" count="1" selected="0">
            <x v="5"/>
          </reference>
        </references>
      </pivotArea>
    </chartFormat>
    <chartFormat chart="7" format="69">
      <pivotArea type="data" outline="0" fieldPosition="0">
        <references count="2">
          <reference field="4294967294" count="1" selected="0">
            <x v="2"/>
          </reference>
          <reference field="9" count="1" selected="0">
            <x v="6"/>
          </reference>
        </references>
      </pivotArea>
    </chartFormat>
    <chartFormat chart="7" format="70">
      <pivotArea type="data" outline="0" fieldPosition="0">
        <references count="2">
          <reference field="4294967294" count="1" selected="0">
            <x v="2"/>
          </reference>
          <reference field="9" count="1" selected="0">
            <x v="7"/>
          </reference>
        </references>
      </pivotArea>
    </chartFormat>
    <chartFormat chart="7" format="71">
      <pivotArea type="data" outline="0" fieldPosition="0">
        <references count="2">
          <reference field="4294967294" count="1" selected="0">
            <x v="2"/>
          </reference>
          <reference field="9" count="1" selected="0">
            <x v="8"/>
          </reference>
        </references>
      </pivotArea>
    </chartFormat>
    <chartFormat chart="7" format="72">
      <pivotArea type="data" outline="0" fieldPosition="0">
        <references count="2">
          <reference field="4294967294" count="1" selected="0">
            <x v="2"/>
          </reference>
          <reference field="9" count="1" selected="0">
            <x v="9"/>
          </reference>
        </references>
      </pivotArea>
    </chartFormat>
    <chartFormat chart="7" format="73">
      <pivotArea type="data" outline="0" fieldPosition="0">
        <references count="2">
          <reference field="4294967294" count="1" selected="0">
            <x v="2"/>
          </reference>
          <reference field="9" count="1" selected="0">
            <x v="10"/>
          </reference>
        </references>
      </pivotArea>
    </chartFormat>
    <chartFormat chart="7" format="74">
      <pivotArea type="data" outline="0" fieldPosition="0">
        <references count="2">
          <reference field="4294967294" count="1" selected="0">
            <x v="2"/>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062D299-6D7C-403C-B586-130909540588}" sourceName="Months">
  <pivotTables>
    <pivotTable tabId="16" name="PivotTable8"/>
    <pivotTable tabId="11" name="PivotTable3"/>
    <pivotTable tabId="11" name="PivotTable4"/>
    <pivotTable tabId="11" name="PivotTable5"/>
    <pivotTable tabId="11" name="PivotTable6"/>
    <pivotTable tabId="17" name="PivotTable9"/>
    <pivotTable tabId="19" name="PivotTable2"/>
    <pivotTable tabId="18" name="PivotTable1"/>
    <pivotTable tabId="20" name="PivotTable3"/>
  </pivotTables>
  <data>
    <tabular pivotCacheId="682069398">
      <items count="12">
        <i x="8" s="1"/>
        <i x="10" s="1"/>
        <i x="9" s="1"/>
        <i x="1" s="1"/>
        <i x="7" s="1"/>
        <i x="4" s="1"/>
        <i x="2" s="1"/>
        <i x="0" s="1"/>
        <i x="3" s="1"/>
        <i x="5" s="1"/>
        <i x="6"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97714E-EE0A-4D21-8E89-312F1FDD6213}" sourceName="Category">
  <pivotTables>
    <pivotTable tabId="16" name="PivotTable8"/>
    <pivotTable tabId="11" name="PivotTable3"/>
    <pivotTable tabId="11" name="PivotTable4"/>
    <pivotTable tabId="11" name="PivotTable5"/>
    <pivotTable tabId="11" name="PivotTable6"/>
    <pivotTable tabId="17" name="PivotTable9"/>
    <pivotTable tabId="18" name="PivotTable1"/>
    <pivotTable tabId="19" name="PivotTable2"/>
    <pivotTable tabId="20" name="PivotTable3"/>
  </pivotTables>
  <data>
    <tabular pivotCacheId="682069398">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BD5554F-AF44-41FE-BEA1-D2F19D88405C}" sourceName="Product">
  <pivotTables>
    <pivotTable tabId="16" name="PivotTable8"/>
    <pivotTable tabId="11" name="PivotTable3"/>
    <pivotTable tabId="11" name="PivotTable4"/>
    <pivotTable tabId="11" name="PivotTable5"/>
    <pivotTable tabId="11" name="PivotTable6"/>
    <pivotTable tabId="17" name="PivotTable9"/>
    <pivotTable tabId="18" name="PivotTable1"/>
    <pivotTable tabId="19" name="PivotTable2"/>
    <pivotTable tabId="20" name="PivotTable3"/>
  </pivotTables>
  <data>
    <tabular pivotCacheId="682069398">
      <items count="6">
        <i x="2"/>
        <i x="5"/>
        <i x="1"/>
        <i x="0"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5CB4543-028E-4215-87F7-76806D578721}" cache="Slicer_Months" caption="Months" startItem="2" showCaption="0" style="SlicerStyleLight2" rowHeight="241300"/>
  <slicer name="Category" xr10:uid="{5281574C-F4B5-4663-A43D-27B6804D2449}" cache="Slicer_Category" caption="Category" startItem="1" rowHeight="241300"/>
  <slicer name="Product" xr10:uid="{36B6E41C-63A1-4E0A-8658-A8D6936DC17B}" cache="Slicer_Product" caption="Product" startItem="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0184-5BA5-4384-AF5F-600AD28B62F2}">
  <dimension ref="A3:I19"/>
  <sheetViews>
    <sheetView topLeftCell="A13" workbookViewId="0">
      <selection activeCell="B33" sqref="B33"/>
    </sheetView>
  </sheetViews>
  <sheetFormatPr defaultRowHeight="14.5" x14ac:dyDescent="0.35"/>
  <cols>
    <col min="1" max="1" width="10.7265625" bestFit="1" customWidth="1"/>
    <col min="2" max="2" width="16.08984375" bestFit="1" customWidth="1"/>
    <col min="3" max="3" width="6.6328125" bestFit="1" customWidth="1"/>
    <col min="4" max="4" width="10.7265625" bestFit="1" customWidth="1"/>
    <col min="5" max="5" width="16.08984375" bestFit="1" customWidth="1"/>
    <col min="6" max="6" width="6.6328125" bestFit="1" customWidth="1"/>
    <col min="7" max="7" width="6.08984375" bestFit="1" customWidth="1"/>
    <col min="8" max="8" width="10.7265625" bestFit="1" customWidth="1"/>
    <col min="9" max="9" width="15.1796875" bestFit="1" customWidth="1"/>
  </cols>
  <sheetData>
    <row r="3" spans="1:9" x14ac:dyDescent="0.35">
      <c r="A3" s="6" t="s">
        <v>1359</v>
      </c>
      <c r="B3" t="s">
        <v>1365</v>
      </c>
      <c r="D3" s="6" t="s">
        <v>2</v>
      </c>
      <c r="E3" t="s">
        <v>1369</v>
      </c>
      <c r="I3" s="10" t="s">
        <v>1365</v>
      </c>
    </row>
    <row r="4" spans="1:9" x14ac:dyDescent="0.35">
      <c r="A4" s="7" t="s">
        <v>20</v>
      </c>
      <c r="B4">
        <v>4089997.03</v>
      </c>
      <c r="D4" s="7" t="s">
        <v>27</v>
      </c>
      <c r="E4" s="18">
        <v>13.091938859651099</v>
      </c>
    </row>
    <row r="5" spans="1:9" x14ac:dyDescent="0.35">
      <c r="A5" s="7" t="s">
        <v>32</v>
      </c>
      <c r="B5">
        <v>4547858.1700000009</v>
      </c>
      <c r="D5" s="7" t="s">
        <v>15</v>
      </c>
      <c r="E5" s="18">
        <v>7.6910268782775013</v>
      </c>
    </row>
    <row r="6" spans="1:9" x14ac:dyDescent="0.35">
      <c r="A6" s="7" t="s">
        <v>16</v>
      </c>
      <c r="B6">
        <v>4450278.0700000012</v>
      </c>
      <c r="D6" s="7" t="s">
        <v>31</v>
      </c>
      <c r="E6" s="18">
        <v>10.625208144300043</v>
      </c>
    </row>
    <row r="7" spans="1:9" x14ac:dyDescent="0.35">
      <c r="A7" s="7" t="s">
        <v>11</v>
      </c>
      <c r="B7">
        <v>4063658.6900000018</v>
      </c>
      <c r="D7" s="7" t="s">
        <v>10</v>
      </c>
      <c r="E7" s="18">
        <v>8.3014448467247721</v>
      </c>
    </row>
    <row r="8" spans="1:9" x14ac:dyDescent="0.35">
      <c r="A8" s="7" t="s">
        <v>24</v>
      </c>
      <c r="B8">
        <v>3922528.3000000017</v>
      </c>
      <c r="D8" s="7" t="s">
        <v>1360</v>
      </c>
      <c r="E8" s="18">
        <v>39.709618728953416</v>
      </c>
    </row>
    <row r="9" spans="1:9" x14ac:dyDescent="0.35">
      <c r="A9" s="7" t="s">
        <v>28</v>
      </c>
      <c r="B9">
        <v>4363905.41</v>
      </c>
    </row>
    <row r="10" spans="1:9" x14ac:dyDescent="0.35">
      <c r="A10" s="7" t="s">
        <v>1360</v>
      </c>
      <c r="B10">
        <v>25438225.670000006</v>
      </c>
    </row>
    <row r="13" spans="1:9" x14ac:dyDescent="0.35">
      <c r="D13" s="6" t="s">
        <v>1370</v>
      </c>
      <c r="E13" t="s">
        <v>1363</v>
      </c>
      <c r="H13" s="6" t="s">
        <v>4</v>
      </c>
      <c r="I13" t="s">
        <v>1364</v>
      </c>
    </row>
    <row r="14" spans="1:9" x14ac:dyDescent="0.35">
      <c r="A14" s="6" t="s">
        <v>2</v>
      </c>
      <c r="B14" t="s">
        <v>1363</v>
      </c>
      <c r="D14" s="7" t="s">
        <v>11</v>
      </c>
      <c r="E14" s="18">
        <v>48</v>
      </c>
      <c r="H14" s="7" t="s">
        <v>11</v>
      </c>
      <c r="I14" s="18">
        <v>48</v>
      </c>
    </row>
    <row r="15" spans="1:9" x14ac:dyDescent="0.35">
      <c r="A15" s="7" t="s">
        <v>27</v>
      </c>
      <c r="B15" s="18">
        <v>16</v>
      </c>
      <c r="D15" s="7" t="s">
        <v>1360</v>
      </c>
      <c r="E15" s="18">
        <v>48</v>
      </c>
      <c r="H15" s="7" t="s">
        <v>1360</v>
      </c>
      <c r="I15" s="18">
        <v>48</v>
      </c>
    </row>
    <row r="16" spans="1:9" x14ac:dyDescent="0.35">
      <c r="A16" s="7" t="s">
        <v>15</v>
      </c>
      <c r="B16" s="18">
        <v>9</v>
      </c>
    </row>
    <row r="17" spans="1:2" x14ac:dyDescent="0.35">
      <c r="A17" s="7" t="s">
        <v>31</v>
      </c>
      <c r="B17" s="18">
        <v>13</v>
      </c>
    </row>
    <row r="18" spans="1:2" x14ac:dyDescent="0.35">
      <c r="A18" s="7" t="s">
        <v>10</v>
      </c>
      <c r="B18" s="18">
        <v>10</v>
      </c>
    </row>
    <row r="19" spans="1:2" x14ac:dyDescent="0.35">
      <c r="A19" s="7" t="s">
        <v>1360</v>
      </c>
      <c r="B19" s="18">
        <v>48</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9988-854F-409D-8252-E31BD7FE5185}">
  <dimension ref="A3:B5"/>
  <sheetViews>
    <sheetView workbookViewId="0">
      <selection activeCell="F4" sqref="F4"/>
    </sheetView>
  </sheetViews>
  <sheetFormatPr defaultRowHeight="14.5" x14ac:dyDescent="0.35"/>
  <cols>
    <col min="1" max="1" width="10.7265625" bestFit="1" customWidth="1"/>
    <col min="2" max="2" width="8.36328125" bestFit="1" customWidth="1"/>
  </cols>
  <sheetData>
    <row r="3" spans="1:2" x14ac:dyDescent="0.35">
      <c r="A3" s="6" t="s">
        <v>3</v>
      </c>
      <c r="B3" t="s">
        <v>1371</v>
      </c>
    </row>
    <row r="4" spans="1:2" x14ac:dyDescent="0.35">
      <c r="A4" s="7" t="s">
        <v>11</v>
      </c>
      <c r="B4" s="18">
        <v>48</v>
      </c>
    </row>
    <row r="5" spans="1:2" x14ac:dyDescent="0.35">
      <c r="A5" s="7" t="s">
        <v>1360</v>
      </c>
      <c r="B5" s="18">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34B2-9772-47CA-9ADF-BCBC06FE46A7}">
  <dimension ref="A3:B16"/>
  <sheetViews>
    <sheetView workbookViewId="0">
      <selection activeCell="A2" sqref="A2:B16"/>
    </sheetView>
  </sheetViews>
  <sheetFormatPr defaultRowHeight="14.5" x14ac:dyDescent="0.35"/>
  <cols>
    <col min="1" max="1" width="10.7265625" bestFit="1" customWidth="1"/>
    <col min="2" max="2" width="18.453125" bestFit="1" customWidth="1"/>
    <col min="3" max="9" width="6.81640625" bestFit="1" customWidth="1"/>
    <col min="10" max="22" width="7.81640625" bestFit="1" customWidth="1"/>
    <col min="23" max="24" width="6.81640625" bestFit="1" customWidth="1"/>
    <col min="25" max="45" width="7.81640625" bestFit="1" customWidth="1"/>
    <col min="46" max="46" width="4.81640625" bestFit="1" customWidth="1"/>
    <col min="47" max="93" width="7.81640625" bestFit="1" customWidth="1"/>
    <col min="94" max="94" width="6.81640625" bestFit="1" customWidth="1"/>
    <col min="95" max="103" width="7.81640625" bestFit="1" customWidth="1"/>
    <col min="104" max="104" width="6.81640625" bestFit="1" customWidth="1"/>
    <col min="105" max="117" width="7.81640625" bestFit="1" customWidth="1"/>
    <col min="118" max="118" width="6.81640625" bestFit="1" customWidth="1"/>
    <col min="119" max="130" width="7.81640625" bestFit="1" customWidth="1"/>
    <col min="131" max="131" width="6.81640625" bestFit="1" customWidth="1"/>
    <col min="132" max="134" width="7.81640625" bestFit="1" customWidth="1"/>
    <col min="135" max="135" width="6.81640625" bestFit="1" customWidth="1"/>
    <col min="136" max="157" width="7.81640625" bestFit="1" customWidth="1"/>
    <col min="158" max="158" width="6.81640625" bestFit="1" customWidth="1"/>
    <col min="159" max="167" width="7.81640625" bestFit="1" customWidth="1"/>
    <col min="168" max="197" width="8.81640625" bestFit="1" customWidth="1"/>
    <col min="198" max="198" width="5.81640625" bestFit="1" customWidth="1"/>
    <col min="199" max="204" width="8.81640625" bestFit="1" customWidth="1"/>
    <col min="205" max="205" width="7.81640625" bestFit="1" customWidth="1"/>
    <col min="206" max="234" width="8.81640625" bestFit="1" customWidth="1"/>
    <col min="235" max="235" width="7.81640625" bestFit="1" customWidth="1"/>
    <col min="236" max="240" width="8.81640625" bestFit="1" customWidth="1"/>
    <col min="241" max="241" width="7.81640625" bestFit="1" customWidth="1"/>
    <col min="242" max="243" width="8.81640625" bestFit="1" customWidth="1"/>
    <col min="244" max="244" width="7.81640625" bestFit="1" customWidth="1"/>
    <col min="245" max="261" width="8.81640625" bestFit="1" customWidth="1"/>
    <col min="262" max="262" width="7.81640625" bestFit="1" customWidth="1"/>
    <col min="263" max="270" width="8.81640625" bestFit="1" customWidth="1"/>
    <col min="271" max="271" width="7.81640625" bestFit="1" customWidth="1"/>
    <col min="272" max="288" width="8.81640625" bestFit="1" customWidth="1"/>
    <col min="289" max="289" width="5.81640625" bestFit="1" customWidth="1"/>
    <col min="290" max="299" width="8.81640625" bestFit="1" customWidth="1"/>
    <col min="300" max="300" width="7.81640625" bestFit="1" customWidth="1"/>
    <col min="301" max="304" width="8.81640625" bestFit="1" customWidth="1"/>
    <col min="305" max="305" width="7.81640625" bestFit="1" customWidth="1"/>
    <col min="306" max="319" width="8.81640625" bestFit="1" customWidth="1"/>
    <col min="320" max="321" width="7.81640625" bestFit="1" customWidth="1"/>
    <col min="322" max="371" width="8.81640625" bestFit="1" customWidth="1"/>
    <col min="372" max="372" width="7.81640625" bestFit="1" customWidth="1"/>
    <col min="373" max="379" width="8.81640625" bestFit="1" customWidth="1"/>
    <col min="380" max="380" width="7.81640625" bestFit="1" customWidth="1"/>
    <col min="381" max="383" width="8.81640625" bestFit="1" customWidth="1"/>
    <col min="384" max="385" width="7.81640625" bestFit="1" customWidth="1"/>
    <col min="386" max="386" width="8.81640625" bestFit="1" customWidth="1"/>
    <col min="387" max="387" width="7.81640625" bestFit="1" customWidth="1"/>
    <col min="388" max="399" width="8.81640625" bestFit="1" customWidth="1"/>
    <col min="400" max="400" width="7.81640625" bestFit="1" customWidth="1"/>
    <col min="401" max="403" width="8.81640625" bestFit="1" customWidth="1"/>
    <col min="404" max="404" width="5.81640625" bestFit="1" customWidth="1"/>
    <col min="405" max="410" width="8.81640625" bestFit="1" customWidth="1"/>
    <col min="411" max="411" width="7.81640625" bestFit="1" customWidth="1"/>
    <col min="412" max="419" width="8.81640625" bestFit="1" customWidth="1"/>
    <col min="420" max="420" width="7.81640625" bestFit="1" customWidth="1"/>
    <col min="421" max="430" width="8.81640625" bestFit="1" customWidth="1"/>
    <col min="431" max="431" width="5.81640625" bestFit="1" customWidth="1"/>
    <col min="432" max="458" width="8.81640625" bestFit="1" customWidth="1"/>
    <col min="459" max="460" width="7.81640625" bestFit="1" customWidth="1"/>
    <col min="461" max="479" width="8.81640625" bestFit="1" customWidth="1"/>
    <col min="480" max="480" width="7.81640625" bestFit="1" customWidth="1"/>
    <col min="481" max="501" width="8.81640625" bestFit="1" customWidth="1"/>
    <col min="502" max="502" width="7.81640625" bestFit="1" customWidth="1"/>
    <col min="503" max="505" width="8.81640625" bestFit="1" customWidth="1"/>
    <col min="506" max="506" width="5.81640625" bestFit="1" customWidth="1"/>
    <col min="507" max="507" width="7.81640625" bestFit="1" customWidth="1"/>
    <col min="508" max="509" width="8.81640625" bestFit="1" customWidth="1"/>
    <col min="510" max="510" width="7.81640625" bestFit="1" customWidth="1"/>
    <col min="511" max="539" width="8.81640625" bestFit="1" customWidth="1"/>
    <col min="540" max="540" width="7.81640625" bestFit="1" customWidth="1"/>
    <col min="541" max="550" width="8.81640625" bestFit="1" customWidth="1"/>
    <col min="551" max="551" width="7.81640625" bestFit="1" customWidth="1"/>
    <col min="552" max="556" width="8.81640625" bestFit="1" customWidth="1"/>
    <col min="557" max="557" width="7.81640625" bestFit="1" customWidth="1"/>
    <col min="558" max="559" width="8.81640625" bestFit="1" customWidth="1"/>
    <col min="560" max="560" width="7.81640625" bestFit="1" customWidth="1"/>
    <col min="561" max="561" width="8.81640625" bestFit="1" customWidth="1"/>
    <col min="562" max="562" width="7.81640625" bestFit="1" customWidth="1"/>
    <col min="563" max="566" width="8.81640625" bestFit="1" customWidth="1"/>
    <col min="567" max="567" width="7.81640625" bestFit="1" customWidth="1"/>
    <col min="568" max="602" width="8.81640625" bestFit="1" customWidth="1"/>
    <col min="603" max="603" width="7.81640625" bestFit="1" customWidth="1"/>
    <col min="604" max="605" width="8.81640625" bestFit="1" customWidth="1"/>
    <col min="606" max="606" width="7.81640625" bestFit="1" customWidth="1"/>
    <col min="607" max="607" width="8.81640625" bestFit="1" customWidth="1"/>
    <col min="608" max="609" width="7.81640625" bestFit="1" customWidth="1"/>
    <col min="610" max="617" width="8.81640625" bestFit="1" customWidth="1"/>
    <col min="618" max="618" width="7.81640625" bestFit="1" customWidth="1"/>
    <col min="619" max="619" width="8.81640625" bestFit="1" customWidth="1"/>
    <col min="620" max="620" width="7.81640625" bestFit="1" customWidth="1"/>
    <col min="621" max="621" width="8.81640625" bestFit="1" customWidth="1"/>
    <col min="622" max="623" width="7.81640625" bestFit="1" customWidth="1"/>
    <col min="624" max="630" width="8.81640625" bestFit="1" customWidth="1"/>
    <col min="631" max="632" width="7.81640625" bestFit="1" customWidth="1"/>
    <col min="633" max="640" width="8.81640625" bestFit="1" customWidth="1"/>
    <col min="641" max="641" width="7.81640625" bestFit="1" customWidth="1"/>
    <col min="642" max="652" width="8.81640625" bestFit="1" customWidth="1"/>
    <col min="653" max="653" width="7.81640625" bestFit="1" customWidth="1"/>
    <col min="654" max="654" width="8.81640625" bestFit="1" customWidth="1"/>
    <col min="655" max="655" width="7.81640625" bestFit="1" customWidth="1"/>
    <col min="656" max="660" width="8.81640625" bestFit="1" customWidth="1"/>
    <col min="661" max="661" width="7.81640625" bestFit="1" customWidth="1"/>
    <col min="662" max="677" width="8.81640625" bestFit="1" customWidth="1"/>
    <col min="678" max="678" width="5.81640625" bestFit="1" customWidth="1"/>
    <col min="679" max="679" width="8.81640625" bestFit="1" customWidth="1"/>
    <col min="680" max="680" width="7.81640625" bestFit="1" customWidth="1"/>
    <col min="681" max="684" width="8.81640625" bestFit="1" customWidth="1"/>
    <col min="685" max="685" width="7.81640625" bestFit="1" customWidth="1"/>
    <col min="686" max="691" width="8.81640625" bestFit="1" customWidth="1"/>
    <col min="692" max="692" width="7.81640625" bestFit="1" customWidth="1"/>
    <col min="693" max="702" width="8.81640625" bestFit="1" customWidth="1"/>
    <col min="703" max="704" width="7.81640625" bestFit="1" customWidth="1"/>
    <col min="705" max="721" width="8.81640625" bestFit="1" customWidth="1"/>
    <col min="722" max="722" width="7.81640625" bestFit="1" customWidth="1"/>
    <col min="723" max="724" width="8.81640625" bestFit="1" customWidth="1"/>
    <col min="725" max="726" width="7.81640625" bestFit="1" customWidth="1"/>
    <col min="727" max="737" width="8.81640625" bestFit="1" customWidth="1"/>
    <col min="738" max="738" width="5.81640625" bestFit="1" customWidth="1"/>
    <col min="739" max="746" width="8.81640625" bestFit="1" customWidth="1"/>
    <col min="747" max="747" width="7.81640625" bestFit="1" customWidth="1"/>
    <col min="748" max="756" width="8.81640625" bestFit="1" customWidth="1"/>
    <col min="757" max="757" width="7.81640625" bestFit="1" customWidth="1"/>
    <col min="758" max="759" width="8.81640625" bestFit="1" customWidth="1"/>
    <col min="760" max="760" width="7.81640625" bestFit="1" customWidth="1"/>
    <col min="761" max="768" width="8.81640625" bestFit="1" customWidth="1"/>
    <col min="769" max="769" width="7.81640625" bestFit="1" customWidth="1"/>
    <col min="770" max="776" width="8.81640625" bestFit="1" customWidth="1"/>
    <col min="777" max="777" width="7.81640625" bestFit="1" customWidth="1"/>
    <col min="778" max="788" width="8.81640625" bestFit="1" customWidth="1"/>
    <col min="789" max="789" width="7.81640625" bestFit="1" customWidth="1"/>
    <col min="790" max="797" width="8.81640625" bestFit="1" customWidth="1"/>
    <col min="798" max="798" width="7.81640625" bestFit="1" customWidth="1"/>
    <col min="799" max="817" width="8.81640625" bestFit="1" customWidth="1"/>
    <col min="818" max="818" width="7.81640625" bestFit="1" customWidth="1"/>
    <col min="819" max="823" width="8.81640625" bestFit="1" customWidth="1"/>
    <col min="824" max="824" width="7.81640625" bestFit="1" customWidth="1"/>
    <col min="825" max="833" width="8.81640625" bestFit="1" customWidth="1"/>
    <col min="834" max="834" width="7.81640625" bestFit="1" customWidth="1"/>
    <col min="835" max="842" width="8.81640625" bestFit="1" customWidth="1"/>
    <col min="843" max="843" width="7.81640625" bestFit="1" customWidth="1"/>
    <col min="844" max="854" width="8.81640625" bestFit="1" customWidth="1"/>
    <col min="855" max="855" width="7.81640625" bestFit="1" customWidth="1"/>
    <col min="856" max="858" width="8.81640625" bestFit="1" customWidth="1"/>
    <col min="859" max="859" width="7.81640625" bestFit="1" customWidth="1"/>
    <col min="860" max="860" width="8.81640625" bestFit="1" customWidth="1"/>
    <col min="861" max="861" width="7.81640625" bestFit="1" customWidth="1"/>
    <col min="862" max="865" width="8.81640625" bestFit="1" customWidth="1"/>
    <col min="866" max="866" width="7.81640625" bestFit="1" customWidth="1"/>
    <col min="867" max="871" width="8.81640625" bestFit="1" customWidth="1"/>
    <col min="872" max="872" width="7.81640625" bestFit="1" customWidth="1"/>
    <col min="873" max="875" width="8.81640625" bestFit="1" customWidth="1"/>
    <col min="876" max="876" width="7.81640625" bestFit="1" customWidth="1"/>
    <col min="877" max="877" width="8.81640625" bestFit="1" customWidth="1"/>
    <col min="878" max="878" width="7.81640625" bestFit="1" customWidth="1"/>
    <col min="879" max="880" width="8.81640625" bestFit="1" customWidth="1"/>
    <col min="881" max="881" width="7.81640625" bestFit="1" customWidth="1"/>
    <col min="882" max="893" width="8.81640625" bestFit="1" customWidth="1"/>
    <col min="894" max="894" width="7.81640625" bestFit="1" customWidth="1"/>
    <col min="895" max="896" width="8.81640625" bestFit="1" customWidth="1"/>
    <col min="897" max="897" width="7.81640625" bestFit="1" customWidth="1"/>
    <col min="898" max="902" width="8.81640625" bestFit="1" customWidth="1"/>
    <col min="903" max="903" width="7.81640625" bestFit="1" customWidth="1"/>
    <col min="904" max="918" width="8.81640625" bestFit="1" customWidth="1"/>
    <col min="919" max="919" width="7.81640625" bestFit="1" customWidth="1"/>
    <col min="920" max="928" width="8.81640625" bestFit="1" customWidth="1"/>
    <col min="929" max="929" width="7.81640625" bestFit="1" customWidth="1"/>
    <col min="930" max="945" width="8.81640625" bestFit="1" customWidth="1"/>
    <col min="946" max="946" width="7.81640625" bestFit="1" customWidth="1"/>
    <col min="947" max="949" width="8.81640625" bestFit="1" customWidth="1"/>
    <col min="950" max="950" width="7.81640625" bestFit="1" customWidth="1"/>
    <col min="951" max="958" width="8.81640625" bestFit="1" customWidth="1"/>
    <col min="959" max="959" width="5.81640625" bestFit="1" customWidth="1"/>
    <col min="960" max="964" width="8.81640625" bestFit="1" customWidth="1"/>
    <col min="965" max="966" width="7.81640625" bestFit="1" customWidth="1"/>
    <col min="967" max="982" width="8.81640625" bestFit="1" customWidth="1"/>
    <col min="983" max="983" width="7.81640625" bestFit="1" customWidth="1"/>
    <col min="984" max="986" width="8.81640625" bestFit="1" customWidth="1"/>
    <col min="987" max="987" width="7.81640625" bestFit="1" customWidth="1"/>
    <col min="988" max="1001" width="8.81640625" bestFit="1" customWidth="1"/>
    <col min="1002" max="1002" width="10.7265625" bestFit="1" customWidth="1"/>
  </cols>
  <sheetData>
    <row r="3" spans="1:2" x14ac:dyDescent="0.35">
      <c r="A3" s="6" t="s">
        <v>1361</v>
      </c>
      <c r="B3" t="s">
        <v>1373</v>
      </c>
    </row>
    <row r="4" spans="1:2" x14ac:dyDescent="0.35">
      <c r="A4" s="7" t="s">
        <v>1391</v>
      </c>
      <c r="B4" s="18">
        <v>3</v>
      </c>
    </row>
    <row r="5" spans="1:2" x14ac:dyDescent="0.35">
      <c r="A5" s="7" t="s">
        <v>1392</v>
      </c>
      <c r="B5" s="18">
        <v>3</v>
      </c>
    </row>
    <row r="6" spans="1:2" x14ac:dyDescent="0.35">
      <c r="A6" s="7" t="s">
        <v>1372</v>
      </c>
      <c r="B6" s="18">
        <v>3</v>
      </c>
    </row>
    <row r="7" spans="1:2" x14ac:dyDescent="0.35">
      <c r="A7" s="7" t="s">
        <v>1382</v>
      </c>
      <c r="B7" s="18">
        <v>4</v>
      </c>
    </row>
    <row r="8" spans="1:2" x14ac:dyDescent="0.35">
      <c r="A8" s="7" t="s">
        <v>1383</v>
      </c>
      <c r="B8" s="18">
        <v>8</v>
      </c>
    </row>
    <row r="9" spans="1:2" x14ac:dyDescent="0.35">
      <c r="A9" s="7" t="s">
        <v>1384</v>
      </c>
      <c r="B9" s="18">
        <v>6</v>
      </c>
    </row>
    <row r="10" spans="1:2" x14ac:dyDescent="0.35">
      <c r="A10" s="7" t="s">
        <v>1385</v>
      </c>
      <c r="B10" s="18">
        <v>2</v>
      </c>
    </row>
    <row r="11" spans="1:2" x14ac:dyDescent="0.35">
      <c r="A11" s="7" t="s">
        <v>1386</v>
      </c>
      <c r="B11" s="18">
        <v>5</v>
      </c>
    </row>
    <row r="12" spans="1:2" x14ac:dyDescent="0.35">
      <c r="A12" s="7" t="s">
        <v>1387</v>
      </c>
      <c r="B12" s="18">
        <v>1</v>
      </c>
    </row>
    <row r="13" spans="1:2" x14ac:dyDescent="0.35">
      <c r="A13" s="7" t="s">
        <v>1388</v>
      </c>
      <c r="B13" s="18">
        <v>2</v>
      </c>
    </row>
    <row r="14" spans="1:2" x14ac:dyDescent="0.35">
      <c r="A14" s="7" t="s">
        <v>1389</v>
      </c>
      <c r="B14" s="18">
        <v>6</v>
      </c>
    </row>
    <row r="15" spans="1:2" x14ac:dyDescent="0.35">
      <c r="A15" s="7" t="s">
        <v>1390</v>
      </c>
      <c r="B15" s="18">
        <v>5</v>
      </c>
    </row>
    <row r="16" spans="1:2" x14ac:dyDescent="0.35">
      <c r="A16" s="7" t="s">
        <v>1360</v>
      </c>
      <c r="B16" s="18">
        <v>48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1888E-3AF7-4902-AD8E-6009D90A2A5A}">
  <dimension ref="A3:D4"/>
  <sheetViews>
    <sheetView workbookViewId="0">
      <selection activeCell="F7" sqref="F7"/>
    </sheetView>
  </sheetViews>
  <sheetFormatPr defaultRowHeight="14.5" x14ac:dyDescent="0.35"/>
  <cols>
    <col min="1" max="1" width="14.54296875" bestFit="1" customWidth="1"/>
    <col min="2" max="2" width="12.7265625" bestFit="1" customWidth="1"/>
    <col min="3" max="3" width="19.26953125" bestFit="1" customWidth="1"/>
    <col min="4" max="4" width="11.81640625" customWidth="1"/>
  </cols>
  <sheetData>
    <row r="3" spans="1:4" x14ac:dyDescent="0.35">
      <c r="A3" t="s">
        <v>1375</v>
      </c>
      <c r="B3" t="s">
        <v>1366</v>
      </c>
      <c r="C3" t="s">
        <v>1374</v>
      </c>
      <c r="D3" s="12" t="s">
        <v>1376</v>
      </c>
    </row>
    <row r="4" spans="1:4" ht="15.5" x14ac:dyDescent="0.35">
      <c r="A4" s="13">
        <v>563</v>
      </c>
      <c r="B4" s="13">
        <v>199725.72000000003</v>
      </c>
      <c r="C4" s="13">
        <v>1187484.77</v>
      </c>
      <c r="D4" s="14">
        <f>B4/C4</f>
        <v>0.16819223710970208</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CAC6-1EE5-4647-B3C3-2BB990ABE718}">
  <dimension ref="A3:C5"/>
  <sheetViews>
    <sheetView workbookViewId="0">
      <selection activeCell="A3" sqref="A3:C10"/>
    </sheetView>
  </sheetViews>
  <sheetFormatPr defaultRowHeight="14.5" x14ac:dyDescent="0.35"/>
  <cols>
    <col min="1" max="1" width="10.7265625" bestFit="1" customWidth="1"/>
    <col min="2" max="2" width="11" bestFit="1" customWidth="1"/>
    <col min="3" max="3" width="15.7265625" bestFit="1" customWidth="1"/>
  </cols>
  <sheetData>
    <row r="3" spans="1:3" x14ac:dyDescent="0.35">
      <c r="A3" s="6" t="s">
        <v>1377</v>
      </c>
      <c r="B3" t="s">
        <v>1379</v>
      </c>
      <c r="C3" t="s">
        <v>1378</v>
      </c>
    </row>
    <row r="4" spans="1:3" x14ac:dyDescent="0.35">
      <c r="A4" s="7" t="s">
        <v>11</v>
      </c>
      <c r="B4" s="18">
        <v>48</v>
      </c>
      <c r="C4" s="18">
        <v>48</v>
      </c>
    </row>
    <row r="5" spans="1:3" x14ac:dyDescent="0.35">
      <c r="A5" s="7" t="s">
        <v>1360</v>
      </c>
      <c r="B5" s="18">
        <v>48</v>
      </c>
      <c r="C5" s="18">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641AC-039B-411D-9010-BCBC951EDFF6}">
  <dimension ref="A3:D16"/>
  <sheetViews>
    <sheetView workbookViewId="0">
      <selection activeCell="A3" sqref="A3:D15"/>
    </sheetView>
  </sheetViews>
  <sheetFormatPr defaultRowHeight="14.5" x14ac:dyDescent="0.35"/>
  <cols>
    <col min="1" max="1" width="11.90625" bestFit="1" customWidth="1"/>
    <col min="2" max="2" width="9.81640625" bestFit="1" customWidth="1"/>
    <col min="3" max="3" width="10.26953125" bestFit="1" customWidth="1"/>
    <col min="4" max="4" width="13.1796875" bestFit="1" customWidth="1"/>
  </cols>
  <sheetData>
    <row r="3" spans="1:4" x14ac:dyDescent="0.35">
      <c r="A3" s="15" t="s">
        <v>1361</v>
      </c>
      <c r="B3" s="16" t="s">
        <v>1380</v>
      </c>
      <c r="C3" s="16" t="s">
        <v>1367</v>
      </c>
      <c r="D3" s="16" t="s">
        <v>1381</v>
      </c>
    </row>
    <row r="4" spans="1:4" x14ac:dyDescent="0.35">
      <c r="A4" s="7" t="s">
        <v>1391</v>
      </c>
      <c r="B4" s="18">
        <v>23008.39</v>
      </c>
      <c r="C4" s="18">
        <v>5227.04</v>
      </c>
      <c r="D4" s="18">
        <v>36</v>
      </c>
    </row>
    <row r="5" spans="1:4" x14ac:dyDescent="0.35">
      <c r="A5" s="7" t="s">
        <v>1392</v>
      </c>
      <c r="B5" s="18">
        <v>44664.860000000008</v>
      </c>
      <c r="C5" s="18">
        <v>14905.490000000002</v>
      </c>
      <c r="D5" s="18">
        <v>44</v>
      </c>
    </row>
    <row r="6" spans="1:4" x14ac:dyDescent="0.35">
      <c r="A6" s="7" t="s">
        <v>1372</v>
      </c>
      <c r="B6" s="18">
        <v>94534.74</v>
      </c>
      <c r="C6" s="18">
        <v>18026.03</v>
      </c>
      <c r="D6" s="18">
        <v>27</v>
      </c>
    </row>
    <row r="7" spans="1:4" x14ac:dyDescent="0.35">
      <c r="A7" s="7" t="s">
        <v>1382</v>
      </c>
      <c r="B7" s="18">
        <v>63783.899999999994</v>
      </c>
      <c r="C7" s="18">
        <v>10403.260000000002</v>
      </c>
      <c r="D7" s="18">
        <v>19</v>
      </c>
    </row>
    <row r="8" spans="1:4" x14ac:dyDescent="0.35">
      <c r="A8" s="7" t="s">
        <v>1383</v>
      </c>
      <c r="B8" s="18">
        <v>211913.62</v>
      </c>
      <c r="C8" s="18">
        <v>45110.69</v>
      </c>
      <c r="D8" s="18">
        <v>110</v>
      </c>
    </row>
    <row r="9" spans="1:4" x14ac:dyDescent="0.35">
      <c r="A9" s="7" t="s">
        <v>1384</v>
      </c>
      <c r="B9" s="18">
        <v>124144.33</v>
      </c>
      <c r="C9" s="18">
        <v>22853.93</v>
      </c>
      <c r="D9" s="18">
        <v>94</v>
      </c>
    </row>
    <row r="10" spans="1:4" x14ac:dyDescent="0.35">
      <c r="A10" s="7" t="s">
        <v>1385</v>
      </c>
      <c r="B10" s="18">
        <v>52837.17</v>
      </c>
      <c r="C10" s="18">
        <v>7178.25</v>
      </c>
      <c r="D10" s="18">
        <v>18</v>
      </c>
    </row>
    <row r="11" spans="1:4" x14ac:dyDescent="0.35">
      <c r="A11" s="7" t="s">
        <v>1386</v>
      </c>
      <c r="B11" s="18">
        <v>87004.26</v>
      </c>
      <c r="C11" s="18">
        <v>17549.989999999998</v>
      </c>
      <c r="D11" s="18">
        <v>58</v>
      </c>
    </row>
    <row r="12" spans="1:4" x14ac:dyDescent="0.35">
      <c r="A12" s="7" t="s">
        <v>1387</v>
      </c>
      <c r="B12" s="18">
        <v>33920.550000000003</v>
      </c>
      <c r="C12" s="18">
        <v>10424.31</v>
      </c>
      <c r="D12" s="18">
        <v>1</v>
      </c>
    </row>
    <row r="13" spans="1:4" x14ac:dyDescent="0.35">
      <c r="A13" s="7" t="s">
        <v>1388</v>
      </c>
      <c r="B13" s="18">
        <v>32488.61</v>
      </c>
      <c r="C13" s="18">
        <v>8684.58</v>
      </c>
      <c r="D13" s="18">
        <v>20</v>
      </c>
    </row>
    <row r="14" spans="1:4" x14ac:dyDescent="0.35">
      <c r="A14" s="7" t="s">
        <v>1389</v>
      </c>
      <c r="B14" s="18">
        <v>139775.1</v>
      </c>
      <c r="C14" s="18">
        <v>21196.49</v>
      </c>
      <c r="D14" s="18">
        <v>84</v>
      </c>
    </row>
    <row r="15" spans="1:4" x14ac:dyDescent="0.35">
      <c r="A15" s="7" t="s">
        <v>1390</v>
      </c>
      <c r="B15" s="18">
        <v>79683.520000000004</v>
      </c>
      <c r="C15" s="18">
        <v>18165.66</v>
      </c>
      <c r="D15" s="18">
        <v>52</v>
      </c>
    </row>
    <row r="16" spans="1:4" x14ac:dyDescent="0.35">
      <c r="A16" s="7" t="s">
        <v>1360</v>
      </c>
      <c r="B16" s="18">
        <v>987759.05</v>
      </c>
      <c r="C16" s="18">
        <v>199725.71999999997</v>
      </c>
      <c r="D16" s="18">
        <v>563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L9" sqref="L9"/>
    </sheetView>
  </sheetViews>
  <sheetFormatPr defaultRowHeight="14.5" x14ac:dyDescent="0.35"/>
  <cols>
    <col min="1" max="1" width="10.26953125" customWidth="1"/>
    <col min="2" max="2" width="11.81640625" style="5" customWidth="1"/>
    <col min="5" max="5" width="14.1796875" customWidth="1"/>
    <col min="6" max="6" width="13.36328125" customWidth="1"/>
    <col min="9" max="9" width="12.08984375" customWidth="1"/>
    <col min="10" max="10" width="9.90625" customWidth="1"/>
    <col min="11" max="11" width="21.7265625" customWidth="1"/>
    <col min="12" max="12" width="12.7265625" customWidth="1"/>
    <col min="13" max="13" width="10.6328125" customWidth="1"/>
    <col min="14" max="14" width="18.7265625" customWidth="1"/>
    <col min="15" max="15" width="10.81640625" bestFit="1" customWidth="1"/>
  </cols>
  <sheetData>
    <row r="1" spans="1:16" ht="15.5" x14ac:dyDescent="0.35">
      <c r="A1" s="1" t="s">
        <v>0</v>
      </c>
      <c r="B1" s="3" t="s">
        <v>1</v>
      </c>
      <c r="C1" s="1" t="s">
        <v>2</v>
      </c>
      <c r="D1" s="1" t="s">
        <v>3</v>
      </c>
      <c r="E1" s="1" t="s">
        <v>4</v>
      </c>
      <c r="F1" s="1" t="s">
        <v>5</v>
      </c>
      <c r="G1" s="1" t="s">
        <v>6</v>
      </c>
      <c r="H1" s="1" t="s">
        <v>7</v>
      </c>
      <c r="I1" s="1" t="s">
        <v>1368</v>
      </c>
      <c r="J1" s="1" t="s">
        <v>1361</v>
      </c>
      <c r="K1" s="1" t="s">
        <v>1362</v>
      </c>
      <c r="L1" s="11"/>
    </row>
    <row r="2" spans="1:16" x14ac:dyDescent="0.35">
      <c r="A2" s="2" t="s">
        <v>18</v>
      </c>
      <c r="B2" s="4" t="s">
        <v>19</v>
      </c>
      <c r="C2" s="2" t="s">
        <v>10</v>
      </c>
      <c r="D2" s="2" t="s">
        <v>20</v>
      </c>
      <c r="E2" s="2" t="s">
        <v>21</v>
      </c>
      <c r="F2" s="2">
        <v>2962.09</v>
      </c>
      <c r="G2" s="2">
        <v>243.02</v>
      </c>
      <c r="H2" s="2">
        <v>7</v>
      </c>
      <c r="I2" s="2">
        <f t="shared" ref="I2:I65" si="0">(F2-G2)</f>
        <v>2719.07</v>
      </c>
      <c r="J2" s="2" t="str">
        <f t="shared" ref="J2:J65" si="1">TEXT(B2,"mmmm")</f>
        <v>April</v>
      </c>
      <c r="K2" s="9">
        <f t="shared" ref="K2:K65" si="2">(F2-G2)/F2</f>
        <v>0.91795657795678054</v>
      </c>
      <c r="L2" s="8"/>
    </row>
    <row r="3" spans="1:16" x14ac:dyDescent="0.35">
      <c r="A3" s="2" t="s">
        <v>51</v>
      </c>
      <c r="B3" s="4" t="s">
        <v>52</v>
      </c>
      <c r="C3" s="2" t="s">
        <v>15</v>
      </c>
      <c r="D3" s="2" t="s">
        <v>20</v>
      </c>
      <c r="E3" s="2" t="s">
        <v>17</v>
      </c>
      <c r="F3" s="2">
        <v>27372.94</v>
      </c>
      <c r="G3" s="2">
        <v>6513.98</v>
      </c>
      <c r="H3" s="2">
        <v>8</v>
      </c>
      <c r="I3" s="2">
        <f t="shared" si="0"/>
        <v>20858.96</v>
      </c>
      <c r="J3" s="2" t="str">
        <f t="shared" si="1"/>
        <v>March</v>
      </c>
      <c r="K3" s="9">
        <f t="shared" si="2"/>
        <v>0.76202848506590815</v>
      </c>
    </row>
    <row r="4" spans="1:16" x14ac:dyDescent="0.35">
      <c r="A4" s="2" t="s">
        <v>55</v>
      </c>
      <c r="B4" s="4" t="s">
        <v>56</v>
      </c>
      <c r="C4" s="2" t="s">
        <v>27</v>
      </c>
      <c r="D4" s="2" t="s">
        <v>20</v>
      </c>
      <c r="E4" s="2" t="s">
        <v>12</v>
      </c>
      <c r="F4" s="2">
        <v>37669.339999999997</v>
      </c>
      <c r="G4" s="2">
        <v>5917.04</v>
      </c>
      <c r="H4" s="2">
        <v>5</v>
      </c>
      <c r="I4" s="2">
        <f t="shared" si="0"/>
        <v>31752.299999999996</v>
      </c>
      <c r="J4" s="2" t="str">
        <f t="shared" si="1"/>
        <v>January</v>
      </c>
      <c r="K4" s="9">
        <f t="shared" si="2"/>
        <v>0.84292159087470075</v>
      </c>
    </row>
    <row r="5" spans="1:16" x14ac:dyDescent="0.35">
      <c r="A5" s="2" t="s">
        <v>59</v>
      </c>
      <c r="B5" s="4" t="s">
        <v>60</v>
      </c>
      <c r="C5" s="2" t="s">
        <v>15</v>
      </c>
      <c r="D5" s="2" t="s">
        <v>20</v>
      </c>
      <c r="E5" s="2" t="s">
        <v>17</v>
      </c>
      <c r="F5" s="2">
        <v>46830.48</v>
      </c>
      <c r="G5" s="2">
        <v>10744.52</v>
      </c>
      <c r="H5" s="2">
        <v>13</v>
      </c>
      <c r="I5" s="2">
        <f t="shared" si="0"/>
        <v>36085.960000000006</v>
      </c>
      <c r="J5" s="2" t="str">
        <f t="shared" si="1"/>
        <v>October</v>
      </c>
      <c r="K5" s="9">
        <f t="shared" si="2"/>
        <v>0.77056566578006469</v>
      </c>
    </row>
    <row r="6" spans="1:16" x14ac:dyDescent="0.35">
      <c r="A6" s="2" t="s">
        <v>63</v>
      </c>
      <c r="B6" s="4" t="s">
        <v>64</v>
      </c>
      <c r="C6" s="2" t="s">
        <v>10</v>
      </c>
      <c r="D6" s="2" t="s">
        <v>20</v>
      </c>
      <c r="E6" s="2" t="s">
        <v>12</v>
      </c>
      <c r="F6" s="2">
        <v>31132.5</v>
      </c>
      <c r="G6" s="2">
        <v>4655.42</v>
      </c>
      <c r="H6" s="2">
        <v>6</v>
      </c>
      <c r="I6" s="2">
        <f t="shared" si="0"/>
        <v>26477.08</v>
      </c>
      <c r="J6" s="2" t="str">
        <f t="shared" si="1"/>
        <v>February</v>
      </c>
      <c r="K6" s="9">
        <f t="shared" si="2"/>
        <v>0.85046430578976961</v>
      </c>
      <c r="N6" s="10"/>
      <c r="O6" s="17"/>
      <c r="P6" s="17"/>
    </row>
    <row r="7" spans="1:16" x14ac:dyDescent="0.35">
      <c r="A7" s="2" t="s">
        <v>81</v>
      </c>
      <c r="B7" s="4" t="s">
        <v>82</v>
      </c>
      <c r="C7" s="2" t="s">
        <v>15</v>
      </c>
      <c r="D7" s="2" t="s">
        <v>20</v>
      </c>
      <c r="E7" s="2" t="s">
        <v>17</v>
      </c>
      <c r="F7" s="2">
        <v>47044.83</v>
      </c>
      <c r="G7" s="2">
        <v>5354.54</v>
      </c>
      <c r="H7" s="2">
        <v>2</v>
      </c>
      <c r="I7" s="2">
        <f t="shared" si="0"/>
        <v>41690.29</v>
      </c>
      <c r="J7" s="2" t="str">
        <f t="shared" si="1"/>
        <v>October</v>
      </c>
      <c r="K7" s="9">
        <f t="shared" si="2"/>
        <v>0.88618217984845515</v>
      </c>
    </row>
    <row r="8" spans="1:16" x14ac:dyDescent="0.35">
      <c r="A8" s="2" t="s">
        <v>96</v>
      </c>
      <c r="B8" s="4" t="s">
        <v>97</v>
      </c>
      <c r="C8" s="2" t="s">
        <v>10</v>
      </c>
      <c r="D8" s="2" t="s">
        <v>20</v>
      </c>
      <c r="E8" s="2" t="s">
        <v>17</v>
      </c>
      <c r="F8" s="2">
        <v>25401.200000000001</v>
      </c>
      <c r="G8" s="2">
        <v>4837.6400000000003</v>
      </c>
      <c r="H8" s="2">
        <v>17</v>
      </c>
      <c r="I8" s="2">
        <f t="shared" si="0"/>
        <v>20563.560000000001</v>
      </c>
      <c r="J8" s="2" t="str">
        <f t="shared" si="1"/>
        <v>October</v>
      </c>
      <c r="K8" s="9">
        <f t="shared" si="2"/>
        <v>0.80955072988677701</v>
      </c>
    </row>
    <row r="9" spans="1:16" x14ac:dyDescent="0.35">
      <c r="A9" s="2" t="s">
        <v>114</v>
      </c>
      <c r="B9" s="4" t="s">
        <v>115</v>
      </c>
      <c r="C9" s="2" t="s">
        <v>27</v>
      </c>
      <c r="D9" s="2" t="s">
        <v>20</v>
      </c>
      <c r="E9" s="2" t="s">
        <v>17</v>
      </c>
      <c r="F9" s="2">
        <v>36861.22</v>
      </c>
      <c r="G9" s="2">
        <v>6772.51</v>
      </c>
      <c r="H9" s="2">
        <v>12</v>
      </c>
      <c r="I9" s="2">
        <f t="shared" si="0"/>
        <v>30088.71</v>
      </c>
      <c r="J9" s="2" t="str">
        <f t="shared" si="1"/>
        <v>May</v>
      </c>
      <c r="K9" s="9">
        <f t="shared" si="2"/>
        <v>0.81627005291740207</v>
      </c>
    </row>
    <row r="10" spans="1:16" x14ac:dyDescent="0.35">
      <c r="A10" s="2" t="s">
        <v>116</v>
      </c>
      <c r="B10" s="4" t="s">
        <v>117</v>
      </c>
      <c r="C10" s="2" t="s">
        <v>27</v>
      </c>
      <c r="D10" s="2" t="s">
        <v>20</v>
      </c>
      <c r="E10" s="2" t="s">
        <v>17</v>
      </c>
      <c r="F10" s="2">
        <v>24201.61</v>
      </c>
      <c r="G10" s="2">
        <v>4542.6400000000003</v>
      </c>
      <c r="H10" s="2">
        <v>9</v>
      </c>
      <c r="I10" s="2">
        <f t="shared" si="0"/>
        <v>19658.97</v>
      </c>
      <c r="J10" s="2" t="str">
        <f t="shared" si="1"/>
        <v>April</v>
      </c>
      <c r="K10" s="9">
        <f t="shared" si="2"/>
        <v>0.8123000907790846</v>
      </c>
    </row>
    <row r="11" spans="1:16" x14ac:dyDescent="0.35">
      <c r="A11" s="2" t="s">
        <v>124</v>
      </c>
      <c r="B11" s="4" t="s">
        <v>125</v>
      </c>
      <c r="C11" s="2" t="s">
        <v>31</v>
      </c>
      <c r="D11" s="2" t="s">
        <v>20</v>
      </c>
      <c r="E11" s="2" t="s">
        <v>21</v>
      </c>
      <c r="F11" s="2">
        <v>31930.240000000002</v>
      </c>
      <c r="G11" s="2">
        <v>4633.47</v>
      </c>
      <c r="H11" s="2">
        <v>1</v>
      </c>
      <c r="I11" s="2">
        <f t="shared" si="0"/>
        <v>27296.77</v>
      </c>
      <c r="J11" s="2" t="str">
        <f t="shared" si="1"/>
        <v>January</v>
      </c>
      <c r="K11" s="9">
        <f t="shared" si="2"/>
        <v>0.85488771772463967</v>
      </c>
    </row>
    <row r="12" spans="1:16" x14ac:dyDescent="0.35">
      <c r="A12" s="2" t="s">
        <v>133</v>
      </c>
      <c r="B12" s="4" t="s">
        <v>134</v>
      </c>
      <c r="C12" s="2" t="s">
        <v>27</v>
      </c>
      <c r="D12" s="2" t="s">
        <v>20</v>
      </c>
      <c r="E12" s="2" t="s">
        <v>21</v>
      </c>
      <c r="F12" s="2">
        <v>32803.26</v>
      </c>
      <c r="G12" s="2">
        <v>2320.21</v>
      </c>
      <c r="H12" s="2">
        <v>19</v>
      </c>
      <c r="I12" s="2">
        <f t="shared" si="0"/>
        <v>30483.050000000003</v>
      </c>
      <c r="J12" s="2" t="str">
        <f t="shared" si="1"/>
        <v>November</v>
      </c>
      <c r="K12" s="9">
        <f t="shared" si="2"/>
        <v>0.92926892022317298</v>
      </c>
    </row>
    <row r="13" spans="1:16" x14ac:dyDescent="0.35">
      <c r="A13" s="2" t="s">
        <v>158</v>
      </c>
      <c r="B13" s="4" t="s">
        <v>111</v>
      </c>
      <c r="C13" s="2" t="s">
        <v>10</v>
      </c>
      <c r="D13" s="2" t="s">
        <v>20</v>
      </c>
      <c r="E13" s="2" t="s">
        <v>21</v>
      </c>
      <c r="F13" s="2">
        <v>48530.71</v>
      </c>
      <c r="G13" s="2">
        <v>9564.56</v>
      </c>
      <c r="H13" s="2">
        <v>20</v>
      </c>
      <c r="I13" s="2">
        <f t="shared" si="0"/>
        <v>38966.15</v>
      </c>
      <c r="J13" s="2" t="str">
        <f t="shared" si="1"/>
        <v>October</v>
      </c>
      <c r="K13" s="9">
        <f t="shared" si="2"/>
        <v>0.80291736922868018</v>
      </c>
    </row>
    <row r="14" spans="1:16" x14ac:dyDescent="0.35">
      <c r="A14" s="2" t="s">
        <v>175</v>
      </c>
      <c r="B14" s="4" t="s">
        <v>176</v>
      </c>
      <c r="C14" s="2" t="s">
        <v>15</v>
      </c>
      <c r="D14" s="2" t="s">
        <v>20</v>
      </c>
      <c r="E14" s="2" t="s">
        <v>21</v>
      </c>
      <c r="F14" s="2">
        <v>3320.43</v>
      </c>
      <c r="G14" s="2">
        <v>826.94</v>
      </c>
      <c r="H14" s="2">
        <v>16</v>
      </c>
      <c r="I14" s="2">
        <f t="shared" si="0"/>
        <v>2493.4899999999998</v>
      </c>
      <c r="J14" s="2" t="str">
        <f t="shared" si="1"/>
        <v>November</v>
      </c>
      <c r="K14" s="9">
        <f t="shared" si="2"/>
        <v>0.75095394271223903</v>
      </c>
    </row>
    <row r="15" spans="1:16" x14ac:dyDescent="0.35">
      <c r="A15" s="2" t="s">
        <v>177</v>
      </c>
      <c r="B15" s="4" t="s">
        <v>178</v>
      </c>
      <c r="C15" s="2" t="s">
        <v>27</v>
      </c>
      <c r="D15" s="2" t="s">
        <v>20</v>
      </c>
      <c r="E15" s="2" t="s">
        <v>17</v>
      </c>
      <c r="F15" s="2">
        <v>37449.99</v>
      </c>
      <c r="G15" s="2">
        <v>3664.38</v>
      </c>
      <c r="H15" s="2">
        <v>10</v>
      </c>
      <c r="I15" s="2">
        <f t="shared" si="0"/>
        <v>33785.61</v>
      </c>
      <c r="J15" s="2" t="str">
        <f t="shared" si="1"/>
        <v>January</v>
      </c>
      <c r="K15" s="9">
        <f t="shared" si="2"/>
        <v>0.90215271085519655</v>
      </c>
    </row>
    <row r="16" spans="1:16" x14ac:dyDescent="0.35">
      <c r="A16" s="2" t="s">
        <v>179</v>
      </c>
      <c r="B16" s="4" t="s">
        <v>180</v>
      </c>
      <c r="C16" s="2" t="s">
        <v>31</v>
      </c>
      <c r="D16" s="2" t="s">
        <v>20</v>
      </c>
      <c r="E16" s="2" t="s">
        <v>21</v>
      </c>
      <c r="F16" s="2">
        <v>6307.85</v>
      </c>
      <c r="G16" s="2">
        <v>1437.44</v>
      </c>
      <c r="H16" s="2">
        <v>16</v>
      </c>
      <c r="I16" s="2">
        <f t="shared" si="0"/>
        <v>4870.41</v>
      </c>
      <c r="J16" s="2" t="str">
        <f t="shared" si="1"/>
        <v>January</v>
      </c>
      <c r="K16" s="9">
        <f t="shared" si="2"/>
        <v>0.77211886776001326</v>
      </c>
    </row>
    <row r="17" spans="1:11" x14ac:dyDescent="0.35">
      <c r="A17" s="2" t="s">
        <v>183</v>
      </c>
      <c r="B17" s="4" t="s">
        <v>180</v>
      </c>
      <c r="C17" s="2" t="s">
        <v>31</v>
      </c>
      <c r="D17" s="2" t="s">
        <v>20</v>
      </c>
      <c r="E17" s="2" t="s">
        <v>21</v>
      </c>
      <c r="F17" s="2">
        <v>31830.54</v>
      </c>
      <c r="G17" s="2">
        <v>3743.39</v>
      </c>
      <c r="H17" s="2">
        <v>6</v>
      </c>
      <c r="I17" s="2">
        <f t="shared" si="0"/>
        <v>28087.15</v>
      </c>
      <c r="J17" s="2" t="str">
        <f t="shared" si="1"/>
        <v>January</v>
      </c>
      <c r="K17" s="9">
        <f t="shared" si="2"/>
        <v>0.8823962772859022</v>
      </c>
    </row>
    <row r="18" spans="1:11" x14ac:dyDescent="0.35">
      <c r="A18" s="2" t="s">
        <v>186</v>
      </c>
      <c r="B18" s="4" t="s">
        <v>187</v>
      </c>
      <c r="C18" s="2" t="s">
        <v>31</v>
      </c>
      <c r="D18" s="2" t="s">
        <v>20</v>
      </c>
      <c r="E18" s="2" t="s">
        <v>12</v>
      </c>
      <c r="F18" s="2">
        <v>27669.8</v>
      </c>
      <c r="G18" s="2">
        <v>1546.32</v>
      </c>
      <c r="H18" s="2">
        <v>11</v>
      </c>
      <c r="I18" s="2">
        <f t="shared" si="0"/>
        <v>26123.48</v>
      </c>
      <c r="J18" s="2" t="str">
        <f t="shared" si="1"/>
        <v>March</v>
      </c>
      <c r="K18" s="9">
        <f t="shared" si="2"/>
        <v>0.94411524477950692</v>
      </c>
    </row>
    <row r="19" spans="1:11" x14ac:dyDescent="0.35">
      <c r="A19" s="2" t="s">
        <v>212</v>
      </c>
      <c r="B19" s="4" t="s">
        <v>213</v>
      </c>
      <c r="C19" s="2" t="s">
        <v>10</v>
      </c>
      <c r="D19" s="2" t="s">
        <v>20</v>
      </c>
      <c r="E19" s="2" t="s">
        <v>12</v>
      </c>
      <c r="F19" s="2">
        <v>29629.06</v>
      </c>
      <c r="G19" s="2">
        <v>6329.12</v>
      </c>
      <c r="H19" s="2">
        <v>18</v>
      </c>
      <c r="I19" s="2">
        <f t="shared" si="0"/>
        <v>23299.940000000002</v>
      </c>
      <c r="J19" s="2" t="str">
        <f t="shared" si="1"/>
        <v>November</v>
      </c>
      <c r="K19" s="9">
        <f t="shared" si="2"/>
        <v>0.78638809331109394</v>
      </c>
    </row>
    <row r="20" spans="1:11" x14ac:dyDescent="0.35">
      <c r="A20" s="2" t="s">
        <v>247</v>
      </c>
      <c r="B20" s="4" t="s">
        <v>248</v>
      </c>
      <c r="C20" s="2" t="s">
        <v>27</v>
      </c>
      <c r="D20" s="2" t="s">
        <v>20</v>
      </c>
      <c r="E20" s="2" t="s">
        <v>17</v>
      </c>
      <c r="F20" s="2">
        <v>40116.51</v>
      </c>
      <c r="G20" s="2">
        <v>11511.52</v>
      </c>
      <c r="H20" s="2">
        <v>9</v>
      </c>
      <c r="I20" s="2">
        <f t="shared" si="0"/>
        <v>28604.99</v>
      </c>
      <c r="J20" s="2" t="str">
        <f t="shared" si="1"/>
        <v>May</v>
      </c>
      <c r="K20" s="9">
        <f t="shared" si="2"/>
        <v>0.71304781996240452</v>
      </c>
    </row>
    <row r="21" spans="1:11" x14ac:dyDescent="0.35">
      <c r="A21" s="2" t="s">
        <v>256</v>
      </c>
      <c r="B21" s="4" t="s">
        <v>257</v>
      </c>
      <c r="C21" s="2" t="s">
        <v>27</v>
      </c>
      <c r="D21" s="2" t="s">
        <v>20</v>
      </c>
      <c r="E21" s="2" t="s">
        <v>12</v>
      </c>
      <c r="F21" s="2">
        <v>8686.6200000000008</v>
      </c>
      <c r="G21" s="2">
        <v>2481.37</v>
      </c>
      <c r="H21" s="2">
        <v>4</v>
      </c>
      <c r="I21" s="2">
        <f t="shared" si="0"/>
        <v>6205.2500000000009</v>
      </c>
      <c r="J21" s="2" t="str">
        <f t="shared" si="1"/>
        <v>July</v>
      </c>
      <c r="K21" s="9">
        <f t="shared" si="2"/>
        <v>0.71434574092109482</v>
      </c>
    </row>
    <row r="22" spans="1:11" x14ac:dyDescent="0.35">
      <c r="A22" s="2" t="s">
        <v>258</v>
      </c>
      <c r="B22" s="4" t="s">
        <v>113</v>
      </c>
      <c r="C22" s="2" t="s">
        <v>31</v>
      </c>
      <c r="D22" s="2" t="s">
        <v>20</v>
      </c>
      <c r="E22" s="2" t="s">
        <v>21</v>
      </c>
      <c r="F22" s="2">
        <v>6642.45</v>
      </c>
      <c r="G22" s="2">
        <v>1455.65</v>
      </c>
      <c r="H22" s="2">
        <v>6</v>
      </c>
      <c r="I22" s="2">
        <f t="shared" si="0"/>
        <v>5186.7999999999993</v>
      </c>
      <c r="J22" s="2" t="str">
        <f t="shared" si="1"/>
        <v>May</v>
      </c>
      <c r="K22" s="9">
        <f t="shared" si="2"/>
        <v>0.78085646109492723</v>
      </c>
    </row>
    <row r="23" spans="1:11" x14ac:dyDescent="0.35">
      <c r="A23" s="2" t="s">
        <v>269</v>
      </c>
      <c r="B23" s="4" t="s">
        <v>125</v>
      </c>
      <c r="C23" s="2" t="s">
        <v>31</v>
      </c>
      <c r="D23" s="2" t="s">
        <v>20</v>
      </c>
      <c r="E23" s="2" t="s">
        <v>12</v>
      </c>
      <c r="F23" s="2">
        <v>35072.379999999997</v>
      </c>
      <c r="G23" s="2">
        <v>2771.7</v>
      </c>
      <c r="H23" s="2">
        <v>17</v>
      </c>
      <c r="I23" s="2">
        <f t="shared" si="0"/>
        <v>32300.679999999997</v>
      </c>
      <c r="J23" s="2" t="str">
        <f t="shared" si="1"/>
        <v>January</v>
      </c>
      <c r="K23" s="9">
        <f t="shared" si="2"/>
        <v>0.92097200132982138</v>
      </c>
    </row>
    <row r="24" spans="1:11" x14ac:dyDescent="0.35">
      <c r="A24" s="2" t="s">
        <v>270</v>
      </c>
      <c r="B24" s="4" t="s">
        <v>271</v>
      </c>
      <c r="C24" s="2" t="s">
        <v>15</v>
      </c>
      <c r="D24" s="2" t="s">
        <v>20</v>
      </c>
      <c r="E24" s="2" t="s">
        <v>12</v>
      </c>
      <c r="F24" s="2">
        <v>26174.04</v>
      </c>
      <c r="G24" s="2">
        <v>4622.4799999999996</v>
      </c>
      <c r="H24" s="2">
        <v>15</v>
      </c>
      <c r="I24" s="2">
        <f t="shared" si="0"/>
        <v>21551.56</v>
      </c>
      <c r="J24" s="2" t="str">
        <f t="shared" si="1"/>
        <v>May</v>
      </c>
      <c r="K24" s="9">
        <f t="shared" si="2"/>
        <v>0.82339447788725018</v>
      </c>
    </row>
    <row r="25" spans="1:11" x14ac:dyDescent="0.35">
      <c r="A25" s="2" t="s">
        <v>301</v>
      </c>
      <c r="B25" s="4" t="s">
        <v>302</v>
      </c>
      <c r="C25" s="2" t="s">
        <v>27</v>
      </c>
      <c r="D25" s="2" t="s">
        <v>20</v>
      </c>
      <c r="E25" s="2" t="s">
        <v>21</v>
      </c>
      <c r="F25" s="2">
        <v>10691.22</v>
      </c>
      <c r="G25" s="2">
        <v>2820.05</v>
      </c>
      <c r="H25" s="2">
        <v>16</v>
      </c>
      <c r="I25" s="2">
        <f t="shared" si="0"/>
        <v>7871.1699999999992</v>
      </c>
      <c r="J25" s="2" t="str">
        <f t="shared" si="1"/>
        <v>October</v>
      </c>
      <c r="K25" s="9">
        <f t="shared" si="2"/>
        <v>0.73622748386058834</v>
      </c>
    </row>
    <row r="26" spans="1:11" x14ac:dyDescent="0.35">
      <c r="A26" s="2" t="s">
        <v>303</v>
      </c>
      <c r="B26" s="4" t="s">
        <v>142</v>
      </c>
      <c r="C26" s="2" t="s">
        <v>31</v>
      </c>
      <c r="D26" s="2" t="s">
        <v>20</v>
      </c>
      <c r="E26" s="2" t="s">
        <v>21</v>
      </c>
      <c r="F26" s="2">
        <v>49261.72</v>
      </c>
      <c r="G26" s="2">
        <v>7460.89</v>
      </c>
      <c r="H26" s="2">
        <v>19</v>
      </c>
      <c r="I26" s="2">
        <f t="shared" si="0"/>
        <v>41800.83</v>
      </c>
      <c r="J26" s="2" t="str">
        <f t="shared" si="1"/>
        <v>September</v>
      </c>
      <c r="K26" s="9">
        <f t="shared" si="2"/>
        <v>0.84854588918129537</v>
      </c>
    </row>
    <row r="27" spans="1:11" x14ac:dyDescent="0.35">
      <c r="A27" s="2" t="s">
        <v>336</v>
      </c>
      <c r="B27" s="4" t="s">
        <v>337</v>
      </c>
      <c r="C27" s="2" t="s">
        <v>15</v>
      </c>
      <c r="D27" s="2" t="s">
        <v>20</v>
      </c>
      <c r="E27" s="2" t="s">
        <v>17</v>
      </c>
      <c r="F27" s="2">
        <v>14279.39</v>
      </c>
      <c r="G27" s="2">
        <v>1047.1099999999999</v>
      </c>
      <c r="H27" s="2">
        <v>17</v>
      </c>
      <c r="I27" s="2">
        <f t="shared" si="0"/>
        <v>13232.279999999999</v>
      </c>
      <c r="J27" s="2" t="str">
        <f t="shared" si="1"/>
        <v>February</v>
      </c>
      <c r="K27" s="9">
        <f t="shared" si="2"/>
        <v>0.92666983673672332</v>
      </c>
    </row>
    <row r="28" spans="1:11" x14ac:dyDescent="0.35">
      <c r="A28" s="2" t="s">
        <v>338</v>
      </c>
      <c r="B28" s="4" t="s">
        <v>339</v>
      </c>
      <c r="C28" s="2" t="s">
        <v>27</v>
      </c>
      <c r="D28" s="2" t="s">
        <v>20</v>
      </c>
      <c r="E28" s="2" t="s">
        <v>17</v>
      </c>
      <c r="F28" s="2">
        <v>40833.589999999997</v>
      </c>
      <c r="G28" s="2">
        <v>5237.83</v>
      </c>
      <c r="H28" s="2">
        <v>9</v>
      </c>
      <c r="I28" s="2">
        <f t="shared" si="0"/>
        <v>35595.759999999995</v>
      </c>
      <c r="J28" s="2" t="str">
        <f t="shared" si="1"/>
        <v>September</v>
      </c>
      <c r="K28" s="9">
        <f t="shared" si="2"/>
        <v>0.87172741852969571</v>
      </c>
    </row>
    <row r="29" spans="1:11" x14ac:dyDescent="0.35">
      <c r="A29" s="2" t="s">
        <v>340</v>
      </c>
      <c r="B29" s="4" t="s">
        <v>341</v>
      </c>
      <c r="C29" s="2" t="s">
        <v>31</v>
      </c>
      <c r="D29" s="2" t="s">
        <v>20</v>
      </c>
      <c r="E29" s="2" t="s">
        <v>12</v>
      </c>
      <c r="F29" s="2">
        <v>43524.5</v>
      </c>
      <c r="G29" s="2">
        <v>6782.98</v>
      </c>
      <c r="H29" s="2">
        <v>11</v>
      </c>
      <c r="I29" s="2">
        <f t="shared" si="0"/>
        <v>36741.520000000004</v>
      </c>
      <c r="J29" s="2" t="str">
        <f t="shared" si="1"/>
        <v>October</v>
      </c>
      <c r="K29" s="9">
        <f t="shared" si="2"/>
        <v>0.84415719881905604</v>
      </c>
    </row>
    <row r="30" spans="1:11" x14ac:dyDescent="0.35">
      <c r="A30" s="2" t="s">
        <v>371</v>
      </c>
      <c r="B30" s="4" t="s">
        <v>372</v>
      </c>
      <c r="C30" s="2" t="s">
        <v>10</v>
      </c>
      <c r="D30" s="2" t="s">
        <v>20</v>
      </c>
      <c r="E30" s="2" t="s">
        <v>12</v>
      </c>
      <c r="F30" s="2">
        <v>22963.71</v>
      </c>
      <c r="G30" s="2">
        <v>3680.4</v>
      </c>
      <c r="H30" s="2">
        <v>6</v>
      </c>
      <c r="I30" s="2">
        <f t="shared" si="0"/>
        <v>19283.309999999998</v>
      </c>
      <c r="J30" s="2" t="str">
        <f t="shared" si="1"/>
        <v>August</v>
      </c>
      <c r="K30" s="9">
        <f t="shared" si="2"/>
        <v>0.83972973008281315</v>
      </c>
    </row>
    <row r="31" spans="1:11" x14ac:dyDescent="0.35">
      <c r="A31" s="2" t="s">
        <v>374</v>
      </c>
      <c r="B31" s="4" t="s">
        <v>375</v>
      </c>
      <c r="C31" s="2" t="s">
        <v>15</v>
      </c>
      <c r="D31" s="2" t="s">
        <v>20</v>
      </c>
      <c r="E31" s="2" t="s">
        <v>12</v>
      </c>
      <c r="F31" s="2">
        <v>23920.37</v>
      </c>
      <c r="G31" s="2">
        <v>1497.19</v>
      </c>
      <c r="H31" s="2">
        <v>9</v>
      </c>
      <c r="I31" s="2">
        <f t="shared" si="0"/>
        <v>22423.18</v>
      </c>
      <c r="J31" s="2" t="str">
        <f t="shared" si="1"/>
        <v>October</v>
      </c>
      <c r="K31" s="9">
        <f t="shared" si="2"/>
        <v>0.93740941298148817</v>
      </c>
    </row>
    <row r="32" spans="1:11" x14ac:dyDescent="0.35">
      <c r="A32" s="2" t="s">
        <v>376</v>
      </c>
      <c r="B32" s="4" t="s">
        <v>377</v>
      </c>
      <c r="C32" s="2" t="s">
        <v>10</v>
      </c>
      <c r="D32" s="2" t="s">
        <v>20</v>
      </c>
      <c r="E32" s="2" t="s">
        <v>12</v>
      </c>
      <c r="F32" s="2">
        <v>11883.72</v>
      </c>
      <c r="G32" s="2">
        <v>2259.52</v>
      </c>
      <c r="H32" s="2">
        <v>2</v>
      </c>
      <c r="I32" s="2">
        <f t="shared" si="0"/>
        <v>9624.1999999999989</v>
      </c>
      <c r="J32" s="2" t="str">
        <f t="shared" si="1"/>
        <v>November</v>
      </c>
      <c r="K32" s="9">
        <f t="shared" si="2"/>
        <v>0.8098642512613895</v>
      </c>
    </row>
    <row r="33" spans="1:11" x14ac:dyDescent="0.35">
      <c r="A33" s="2" t="s">
        <v>401</v>
      </c>
      <c r="B33" s="4" t="s">
        <v>402</v>
      </c>
      <c r="C33" s="2" t="s">
        <v>31</v>
      </c>
      <c r="D33" s="2" t="s">
        <v>20</v>
      </c>
      <c r="E33" s="2" t="s">
        <v>12</v>
      </c>
      <c r="F33" s="2">
        <v>46632.74</v>
      </c>
      <c r="G33" s="2">
        <v>11103.46</v>
      </c>
      <c r="H33" s="2">
        <v>3</v>
      </c>
      <c r="I33" s="2">
        <f t="shared" si="0"/>
        <v>35529.279999999999</v>
      </c>
      <c r="J33" s="2" t="str">
        <f t="shared" si="1"/>
        <v>November</v>
      </c>
      <c r="K33" s="9">
        <f t="shared" si="2"/>
        <v>0.76189561239592618</v>
      </c>
    </row>
    <row r="34" spans="1:11" x14ac:dyDescent="0.35">
      <c r="A34" s="2" t="s">
        <v>419</v>
      </c>
      <c r="B34" s="4" t="s">
        <v>420</v>
      </c>
      <c r="C34" s="2" t="s">
        <v>31</v>
      </c>
      <c r="D34" s="2" t="s">
        <v>20</v>
      </c>
      <c r="E34" s="2" t="s">
        <v>21</v>
      </c>
      <c r="F34" s="2">
        <v>33115.42</v>
      </c>
      <c r="G34" s="2">
        <v>7994.75</v>
      </c>
      <c r="H34" s="2">
        <v>7</v>
      </c>
      <c r="I34" s="2">
        <f t="shared" si="0"/>
        <v>25120.67</v>
      </c>
      <c r="J34" s="2" t="str">
        <f t="shared" si="1"/>
        <v>November</v>
      </c>
      <c r="K34" s="9">
        <f t="shared" si="2"/>
        <v>0.75857923589675136</v>
      </c>
    </row>
    <row r="35" spans="1:11" x14ac:dyDescent="0.35">
      <c r="A35" s="2" t="s">
        <v>439</v>
      </c>
      <c r="B35" s="4" t="s">
        <v>440</v>
      </c>
      <c r="C35" s="2" t="s">
        <v>10</v>
      </c>
      <c r="D35" s="2" t="s">
        <v>20</v>
      </c>
      <c r="E35" s="2" t="s">
        <v>21</v>
      </c>
      <c r="F35" s="2">
        <v>29004.05</v>
      </c>
      <c r="G35" s="2">
        <v>4170.17</v>
      </c>
      <c r="H35" s="2">
        <v>17</v>
      </c>
      <c r="I35" s="2">
        <f t="shared" si="0"/>
        <v>24833.879999999997</v>
      </c>
      <c r="J35" s="2" t="str">
        <f t="shared" si="1"/>
        <v>December</v>
      </c>
      <c r="K35" s="9">
        <f t="shared" si="2"/>
        <v>0.85622111394787959</v>
      </c>
    </row>
    <row r="36" spans="1:11" x14ac:dyDescent="0.35">
      <c r="A36" s="2" t="s">
        <v>455</v>
      </c>
      <c r="B36" s="4" t="s">
        <v>456</v>
      </c>
      <c r="C36" s="2" t="s">
        <v>10</v>
      </c>
      <c r="D36" s="2" t="s">
        <v>20</v>
      </c>
      <c r="E36" s="2" t="s">
        <v>12</v>
      </c>
      <c r="F36" s="2">
        <v>35395.949999999997</v>
      </c>
      <c r="G36" s="2">
        <v>6422.93</v>
      </c>
      <c r="H36" s="2">
        <v>13</v>
      </c>
      <c r="I36" s="2">
        <f t="shared" si="0"/>
        <v>28973.019999999997</v>
      </c>
      <c r="J36" s="2" t="str">
        <f t="shared" si="1"/>
        <v>April</v>
      </c>
      <c r="K36" s="9">
        <f t="shared" si="2"/>
        <v>0.81854053924248393</v>
      </c>
    </row>
    <row r="37" spans="1:11" x14ac:dyDescent="0.35">
      <c r="A37" s="2" t="s">
        <v>461</v>
      </c>
      <c r="B37" s="4" t="s">
        <v>462</v>
      </c>
      <c r="C37" s="2" t="s">
        <v>27</v>
      </c>
      <c r="D37" s="2" t="s">
        <v>20</v>
      </c>
      <c r="E37" s="2" t="s">
        <v>21</v>
      </c>
      <c r="F37" s="2">
        <v>20882.27</v>
      </c>
      <c r="G37" s="2">
        <v>1491.62</v>
      </c>
      <c r="H37" s="2">
        <v>2</v>
      </c>
      <c r="I37" s="2">
        <f t="shared" si="0"/>
        <v>19390.650000000001</v>
      </c>
      <c r="J37" s="2" t="str">
        <f t="shared" si="1"/>
        <v>August</v>
      </c>
      <c r="K37" s="9">
        <f t="shared" si="2"/>
        <v>0.92857002615137152</v>
      </c>
    </row>
    <row r="38" spans="1:11" x14ac:dyDescent="0.35">
      <c r="A38" s="2" t="s">
        <v>463</v>
      </c>
      <c r="B38" s="4" t="s">
        <v>464</v>
      </c>
      <c r="C38" s="2" t="s">
        <v>31</v>
      </c>
      <c r="D38" s="2" t="s">
        <v>20</v>
      </c>
      <c r="E38" s="2" t="s">
        <v>17</v>
      </c>
      <c r="F38" s="2">
        <v>28608.71</v>
      </c>
      <c r="G38" s="2">
        <v>6520.03</v>
      </c>
      <c r="H38" s="2">
        <v>11</v>
      </c>
      <c r="I38" s="2">
        <f t="shared" si="0"/>
        <v>22088.68</v>
      </c>
      <c r="J38" s="2" t="str">
        <f t="shared" si="1"/>
        <v>December</v>
      </c>
      <c r="K38" s="9">
        <f t="shared" si="2"/>
        <v>0.7720963301036643</v>
      </c>
    </row>
    <row r="39" spans="1:11" x14ac:dyDescent="0.35">
      <c r="A39" s="2" t="s">
        <v>469</v>
      </c>
      <c r="B39" s="4" t="s">
        <v>150</v>
      </c>
      <c r="C39" s="2" t="s">
        <v>15</v>
      </c>
      <c r="D39" s="2" t="s">
        <v>20</v>
      </c>
      <c r="E39" s="2" t="s">
        <v>17</v>
      </c>
      <c r="F39" s="2">
        <v>22842.65</v>
      </c>
      <c r="G39" s="2">
        <v>5459.51</v>
      </c>
      <c r="H39" s="2">
        <v>9</v>
      </c>
      <c r="I39" s="2">
        <f t="shared" si="0"/>
        <v>17383.14</v>
      </c>
      <c r="J39" s="2" t="str">
        <f t="shared" si="1"/>
        <v>September</v>
      </c>
      <c r="K39" s="9">
        <f t="shared" si="2"/>
        <v>0.7609948933245485</v>
      </c>
    </row>
    <row r="40" spans="1:11" x14ac:dyDescent="0.35">
      <c r="A40" s="2" t="s">
        <v>470</v>
      </c>
      <c r="B40" s="4" t="s">
        <v>329</v>
      </c>
      <c r="C40" s="2" t="s">
        <v>15</v>
      </c>
      <c r="D40" s="2" t="s">
        <v>20</v>
      </c>
      <c r="E40" s="2" t="s">
        <v>17</v>
      </c>
      <c r="F40" s="2">
        <v>10932.07</v>
      </c>
      <c r="G40" s="2">
        <v>1129.77</v>
      </c>
      <c r="H40" s="2">
        <v>16</v>
      </c>
      <c r="I40" s="2">
        <f t="shared" si="0"/>
        <v>9802.2999999999993</v>
      </c>
      <c r="J40" s="2" t="str">
        <f t="shared" si="1"/>
        <v>May</v>
      </c>
      <c r="K40" s="9">
        <f t="shared" si="2"/>
        <v>0.89665543671052228</v>
      </c>
    </row>
    <row r="41" spans="1:11" x14ac:dyDescent="0.35">
      <c r="A41" s="2" t="s">
        <v>473</v>
      </c>
      <c r="B41" s="4" t="s">
        <v>89</v>
      </c>
      <c r="C41" s="2" t="s">
        <v>10</v>
      </c>
      <c r="D41" s="2" t="s">
        <v>20</v>
      </c>
      <c r="E41" s="2" t="s">
        <v>17</v>
      </c>
      <c r="F41" s="2">
        <v>18881.41</v>
      </c>
      <c r="G41" s="2">
        <v>5434.34</v>
      </c>
      <c r="H41" s="2">
        <v>5</v>
      </c>
      <c r="I41" s="2">
        <f t="shared" si="0"/>
        <v>13447.07</v>
      </c>
      <c r="J41" s="2" t="str">
        <f t="shared" si="1"/>
        <v>April</v>
      </c>
      <c r="K41" s="9">
        <f t="shared" si="2"/>
        <v>0.7121856895221278</v>
      </c>
    </row>
    <row r="42" spans="1:11" x14ac:dyDescent="0.35">
      <c r="A42" s="2" t="s">
        <v>489</v>
      </c>
      <c r="B42" s="4" t="s">
        <v>46</v>
      </c>
      <c r="C42" s="2" t="s">
        <v>15</v>
      </c>
      <c r="D42" s="2" t="s">
        <v>20</v>
      </c>
      <c r="E42" s="2" t="s">
        <v>12</v>
      </c>
      <c r="F42" s="2">
        <v>15063.21</v>
      </c>
      <c r="G42" s="2">
        <v>2034.85</v>
      </c>
      <c r="H42" s="2">
        <v>13</v>
      </c>
      <c r="I42" s="2">
        <f t="shared" si="0"/>
        <v>13028.359999999999</v>
      </c>
      <c r="J42" s="2" t="str">
        <f t="shared" si="1"/>
        <v>October</v>
      </c>
      <c r="K42" s="9">
        <f t="shared" si="2"/>
        <v>0.86491259167202739</v>
      </c>
    </row>
    <row r="43" spans="1:11" x14ac:dyDescent="0.35">
      <c r="A43" s="2" t="s">
        <v>490</v>
      </c>
      <c r="B43" s="4" t="s">
        <v>491</v>
      </c>
      <c r="C43" s="2" t="s">
        <v>15</v>
      </c>
      <c r="D43" s="2" t="s">
        <v>20</v>
      </c>
      <c r="E43" s="2" t="s">
        <v>17</v>
      </c>
      <c r="F43" s="2">
        <v>28365.86</v>
      </c>
      <c r="G43" s="2">
        <v>3475.39</v>
      </c>
      <c r="H43" s="2">
        <v>10</v>
      </c>
      <c r="I43" s="2">
        <f t="shared" si="0"/>
        <v>24890.47</v>
      </c>
      <c r="J43" s="2" t="str">
        <f t="shared" si="1"/>
        <v>December</v>
      </c>
      <c r="K43" s="9">
        <f t="shared" si="2"/>
        <v>0.87747982962617743</v>
      </c>
    </row>
    <row r="44" spans="1:11" x14ac:dyDescent="0.35">
      <c r="A44" s="2" t="s">
        <v>498</v>
      </c>
      <c r="B44" s="4" t="s">
        <v>499</v>
      </c>
      <c r="C44" s="2" t="s">
        <v>15</v>
      </c>
      <c r="D44" s="2" t="s">
        <v>20</v>
      </c>
      <c r="E44" s="2" t="s">
        <v>12</v>
      </c>
      <c r="F44" s="2">
        <v>916.78</v>
      </c>
      <c r="G44" s="2">
        <v>54.76</v>
      </c>
      <c r="H44" s="2">
        <v>1</v>
      </c>
      <c r="I44" s="2">
        <f t="shared" si="0"/>
        <v>862.02</v>
      </c>
      <c r="J44" s="2" t="str">
        <f t="shared" si="1"/>
        <v>April</v>
      </c>
      <c r="K44" s="9">
        <f t="shared" si="2"/>
        <v>0.94026920308034645</v>
      </c>
    </row>
    <row r="45" spans="1:11" x14ac:dyDescent="0.35">
      <c r="A45" s="2" t="s">
        <v>504</v>
      </c>
      <c r="B45" s="4" t="s">
        <v>213</v>
      </c>
      <c r="C45" s="2" t="s">
        <v>31</v>
      </c>
      <c r="D45" s="2" t="s">
        <v>20</v>
      </c>
      <c r="E45" s="2" t="s">
        <v>17</v>
      </c>
      <c r="F45" s="2">
        <v>2968.44</v>
      </c>
      <c r="G45" s="2">
        <v>289.63</v>
      </c>
      <c r="H45" s="2">
        <v>12</v>
      </c>
      <c r="I45" s="2">
        <f t="shared" si="0"/>
        <v>2678.81</v>
      </c>
      <c r="J45" s="2" t="str">
        <f t="shared" si="1"/>
        <v>November</v>
      </c>
      <c r="K45" s="9">
        <f t="shared" si="2"/>
        <v>0.90243023271482659</v>
      </c>
    </row>
    <row r="46" spans="1:11" x14ac:dyDescent="0.35">
      <c r="A46" s="2" t="s">
        <v>526</v>
      </c>
      <c r="B46" s="4" t="s">
        <v>527</v>
      </c>
      <c r="C46" s="2" t="s">
        <v>31</v>
      </c>
      <c r="D46" s="2" t="s">
        <v>20</v>
      </c>
      <c r="E46" s="2" t="s">
        <v>17</v>
      </c>
      <c r="F46" s="2">
        <v>26619.52</v>
      </c>
      <c r="G46" s="2">
        <v>1351.96</v>
      </c>
      <c r="H46" s="2">
        <v>1</v>
      </c>
      <c r="I46" s="2">
        <f t="shared" si="0"/>
        <v>25267.56</v>
      </c>
      <c r="J46" s="2" t="str">
        <f t="shared" si="1"/>
        <v>March</v>
      </c>
      <c r="K46" s="9">
        <f t="shared" si="2"/>
        <v>0.94921170629673268</v>
      </c>
    </row>
    <row r="47" spans="1:11" x14ac:dyDescent="0.35">
      <c r="A47" s="2" t="s">
        <v>538</v>
      </c>
      <c r="B47" s="4" t="s">
        <v>539</v>
      </c>
      <c r="C47" s="2" t="s">
        <v>10</v>
      </c>
      <c r="D47" s="2" t="s">
        <v>20</v>
      </c>
      <c r="E47" s="2" t="s">
        <v>21</v>
      </c>
      <c r="F47" s="2">
        <v>24325.27</v>
      </c>
      <c r="G47" s="2">
        <v>4030.14</v>
      </c>
      <c r="H47" s="2">
        <v>6</v>
      </c>
      <c r="I47" s="2">
        <f t="shared" si="0"/>
        <v>20295.13</v>
      </c>
      <c r="J47" s="2" t="str">
        <f t="shared" si="1"/>
        <v>September</v>
      </c>
      <c r="K47" s="9">
        <f t="shared" si="2"/>
        <v>0.83432290782383922</v>
      </c>
    </row>
    <row r="48" spans="1:11" x14ac:dyDescent="0.35">
      <c r="A48" s="2" t="s">
        <v>551</v>
      </c>
      <c r="B48" s="4" t="s">
        <v>236</v>
      </c>
      <c r="C48" s="2" t="s">
        <v>10</v>
      </c>
      <c r="D48" s="2" t="s">
        <v>20</v>
      </c>
      <c r="E48" s="2" t="s">
        <v>12</v>
      </c>
      <c r="F48" s="2">
        <v>1984.74</v>
      </c>
      <c r="G48" s="2">
        <v>307.22000000000003</v>
      </c>
      <c r="H48" s="2">
        <v>11</v>
      </c>
      <c r="I48" s="2">
        <f t="shared" si="0"/>
        <v>1677.52</v>
      </c>
      <c r="J48" s="2" t="str">
        <f t="shared" si="1"/>
        <v>July</v>
      </c>
      <c r="K48" s="9">
        <f t="shared" si="2"/>
        <v>0.84520894424458615</v>
      </c>
    </row>
    <row r="49" spans="1:11" x14ac:dyDescent="0.35">
      <c r="A49" s="2" t="s">
        <v>558</v>
      </c>
      <c r="B49" s="4" t="s">
        <v>559</v>
      </c>
      <c r="C49" s="2" t="s">
        <v>31</v>
      </c>
      <c r="D49" s="2" t="s">
        <v>20</v>
      </c>
      <c r="E49" s="2" t="s">
        <v>21</v>
      </c>
      <c r="F49" s="2">
        <v>30825.8</v>
      </c>
      <c r="G49" s="2">
        <v>6486.45</v>
      </c>
      <c r="H49" s="2">
        <v>20</v>
      </c>
      <c r="I49" s="2">
        <f t="shared" si="0"/>
        <v>24339.35</v>
      </c>
      <c r="J49" s="2" t="str">
        <f t="shared" si="1"/>
        <v>January</v>
      </c>
      <c r="K49" s="9">
        <f t="shared" si="2"/>
        <v>0.78957723724931705</v>
      </c>
    </row>
    <row r="50" spans="1:11" x14ac:dyDescent="0.35">
      <c r="A50" s="2" t="s">
        <v>561</v>
      </c>
      <c r="B50" s="4" t="s">
        <v>413</v>
      </c>
      <c r="C50" s="2" t="s">
        <v>15</v>
      </c>
      <c r="D50" s="2" t="s">
        <v>20</v>
      </c>
      <c r="E50" s="2" t="s">
        <v>21</v>
      </c>
      <c r="F50" s="2">
        <v>19806.18</v>
      </c>
      <c r="G50" s="2">
        <v>4278.93</v>
      </c>
      <c r="H50" s="2">
        <v>5</v>
      </c>
      <c r="I50" s="2">
        <f t="shared" si="0"/>
        <v>15527.25</v>
      </c>
      <c r="J50" s="2" t="str">
        <f t="shared" si="1"/>
        <v>April</v>
      </c>
      <c r="K50" s="9">
        <f t="shared" si="2"/>
        <v>0.78395985495436271</v>
      </c>
    </row>
    <row r="51" spans="1:11" x14ac:dyDescent="0.35">
      <c r="A51" s="2" t="s">
        <v>565</v>
      </c>
      <c r="B51" s="4" t="s">
        <v>199</v>
      </c>
      <c r="C51" s="2" t="s">
        <v>10</v>
      </c>
      <c r="D51" s="2" t="s">
        <v>20</v>
      </c>
      <c r="E51" s="2" t="s">
        <v>17</v>
      </c>
      <c r="F51" s="2">
        <v>49048.24</v>
      </c>
      <c r="G51" s="2">
        <v>3704.65</v>
      </c>
      <c r="H51" s="2">
        <v>20</v>
      </c>
      <c r="I51" s="2">
        <f t="shared" si="0"/>
        <v>45343.59</v>
      </c>
      <c r="J51" s="2" t="str">
        <f t="shared" si="1"/>
        <v>December</v>
      </c>
      <c r="K51" s="9">
        <f t="shared" si="2"/>
        <v>0.92446925720474371</v>
      </c>
    </row>
    <row r="52" spans="1:11" x14ac:dyDescent="0.35">
      <c r="A52" s="2" t="s">
        <v>566</v>
      </c>
      <c r="B52" s="4" t="s">
        <v>567</v>
      </c>
      <c r="C52" s="2" t="s">
        <v>10</v>
      </c>
      <c r="D52" s="2" t="s">
        <v>20</v>
      </c>
      <c r="E52" s="2" t="s">
        <v>21</v>
      </c>
      <c r="F52" s="2">
        <v>48923.43</v>
      </c>
      <c r="G52" s="2">
        <v>10713.58</v>
      </c>
      <c r="H52" s="2">
        <v>5</v>
      </c>
      <c r="I52" s="2">
        <f t="shared" si="0"/>
        <v>38209.85</v>
      </c>
      <c r="J52" s="2" t="str">
        <f t="shared" si="1"/>
        <v>March</v>
      </c>
      <c r="K52" s="9">
        <f t="shared" si="2"/>
        <v>0.78101330998255847</v>
      </c>
    </row>
    <row r="53" spans="1:11" x14ac:dyDescent="0.35">
      <c r="A53" s="2" t="s">
        <v>574</v>
      </c>
      <c r="B53" s="4" t="s">
        <v>282</v>
      </c>
      <c r="C53" s="2" t="s">
        <v>15</v>
      </c>
      <c r="D53" s="2" t="s">
        <v>20</v>
      </c>
      <c r="E53" s="2" t="s">
        <v>17</v>
      </c>
      <c r="F53" s="2">
        <v>40078.21</v>
      </c>
      <c r="G53" s="2">
        <v>5357.89</v>
      </c>
      <c r="H53" s="2">
        <v>4</v>
      </c>
      <c r="I53" s="2">
        <f t="shared" si="0"/>
        <v>34720.32</v>
      </c>
      <c r="J53" s="2" t="str">
        <f t="shared" si="1"/>
        <v>June</v>
      </c>
      <c r="K53" s="9">
        <f t="shared" si="2"/>
        <v>0.86631413927917444</v>
      </c>
    </row>
    <row r="54" spans="1:11" x14ac:dyDescent="0.35">
      <c r="A54" s="2" t="s">
        <v>575</v>
      </c>
      <c r="B54" s="4" t="s">
        <v>576</v>
      </c>
      <c r="C54" s="2" t="s">
        <v>10</v>
      </c>
      <c r="D54" s="2" t="s">
        <v>20</v>
      </c>
      <c r="E54" s="2" t="s">
        <v>12</v>
      </c>
      <c r="F54" s="2">
        <v>11026.52</v>
      </c>
      <c r="G54" s="2">
        <v>2941.29</v>
      </c>
      <c r="H54" s="2">
        <v>20</v>
      </c>
      <c r="I54" s="2">
        <f t="shared" si="0"/>
        <v>8085.2300000000005</v>
      </c>
      <c r="J54" s="2" t="str">
        <f t="shared" si="1"/>
        <v>March</v>
      </c>
      <c r="K54" s="9">
        <f t="shared" si="2"/>
        <v>0.73325310252010611</v>
      </c>
    </row>
    <row r="55" spans="1:11" x14ac:dyDescent="0.35">
      <c r="A55" s="2" t="s">
        <v>580</v>
      </c>
      <c r="B55" s="4" t="s">
        <v>581</v>
      </c>
      <c r="C55" s="2" t="s">
        <v>31</v>
      </c>
      <c r="D55" s="2" t="s">
        <v>20</v>
      </c>
      <c r="E55" s="2" t="s">
        <v>12</v>
      </c>
      <c r="F55" s="2">
        <v>12047.47</v>
      </c>
      <c r="G55" s="2">
        <v>1321.83</v>
      </c>
      <c r="H55" s="2">
        <v>13</v>
      </c>
      <c r="I55" s="2">
        <f t="shared" si="0"/>
        <v>10725.64</v>
      </c>
      <c r="J55" s="2" t="str">
        <f t="shared" si="1"/>
        <v>December</v>
      </c>
      <c r="K55" s="9">
        <f t="shared" si="2"/>
        <v>0.89028152798886406</v>
      </c>
    </row>
    <row r="56" spans="1:11" x14ac:dyDescent="0.35">
      <c r="A56" s="2" t="s">
        <v>583</v>
      </c>
      <c r="B56" s="4" t="s">
        <v>297</v>
      </c>
      <c r="C56" s="2" t="s">
        <v>27</v>
      </c>
      <c r="D56" s="2" t="s">
        <v>20</v>
      </c>
      <c r="E56" s="2" t="s">
        <v>21</v>
      </c>
      <c r="F56" s="2">
        <v>46862.64</v>
      </c>
      <c r="G56" s="2">
        <v>7982.96</v>
      </c>
      <c r="H56" s="2">
        <v>2</v>
      </c>
      <c r="I56" s="2">
        <f t="shared" si="0"/>
        <v>38879.68</v>
      </c>
      <c r="J56" s="2" t="str">
        <f t="shared" si="1"/>
        <v>October</v>
      </c>
      <c r="K56" s="9">
        <f t="shared" si="2"/>
        <v>0.82965193595580622</v>
      </c>
    </row>
    <row r="57" spans="1:11" x14ac:dyDescent="0.35">
      <c r="A57" s="2" t="s">
        <v>587</v>
      </c>
      <c r="B57" s="4" t="s">
        <v>268</v>
      </c>
      <c r="C57" s="2" t="s">
        <v>27</v>
      </c>
      <c r="D57" s="2" t="s">
        <v>20</v>
      </c>
      <c r="E57" s="2" t="s">
        <v>21</v>
      </c>
      <c r="F57" s="2">
        <v>34755.01</v>
      </c>
      <c r="G57" s="2">
        <v>9179.1</v>
      </c>
      <c r="H57" s="2">
        <v>7</v>
      </c>
      <c r="I57" s="2">
        <f t="shared" si="0"/>
        <v>25575.910000000003</v>
      </c>
      <c r="J57" s="2" t="str">
        <f t="shared" si="1"/>
        <v>June</v>
      </c>
      <c r="K57" s="9">
        <f t="shared" si="2"/>
        <v>0.73589131466226021</v>
      </c>
    </row>
    <row r="58" spans="1:11" x14ac:dyDescent="0.35">
      <c r="A58" s="2" t="s">
        <v>591</v>
      </c>
      <c r="B58" s="4" t="s">
        <v>282</v>
      </c>
      <c r="C58" s="2" t="s">
        <v>27</v>
      </c>
      <c r="D58" s="2" t="s">
        <v>20</v>
      </c>
      <c r="E58" s="2" t="s">
        <v>12</v>
      </c>
      <c r="F58" s="2">
        <v>28277.439999999999</v>
      </c>
      <c r="G58" s="2">
        <v>6526.93</v>
      </c>
      <c r="H58" s="2">
        <v>4</v>
      </c>
      <c r="I58" s="2">
        <f t="shared" si="0"/>
        <v>21750.51</v>
      </c>
      <c r="J58" s="2" t="str">
        <f t="shared" si="1"/>
        <v>June</v>
      </c>
      <c r="K58" s="9">
        <f t="shared" si="2"/>
        <v>0.76918242952685956</v>
      </c>
    </row>
    <row r="59" spans="1:11" x14ac:dyDescent="0.35">
      <c r="A59" s="2" t="s">
        <v>595</v>
      </c>
      <c r="B59" s="4" t="s">
        <v>533</v>
      </c>
      <c r="C59" s="2" t="s">
        <v>31</v>
      </c>
      <c r="D59" s="2" t="s">
        <v>20</v>
      </c>
      <c r="E59" s="2" t="s">
        <v>21</v>
      </c>
      <c r="F59" s="2">
        <v>19637.5</v>
      </c>
      <c r="G59" s="2">
        <v>1155.25</v>
      </c>
      <c r="H59" s="2">
        <v>13</v>
      </c>
      <c r="I59" s="2">
        <f t="shared" si="0"/>
        <v>18482.25</v>
      </c>
      <c r="J59" s="2" t="str">
        <f t="shared" si="1"/>
        <v>March</v>
      </c>
      <c r="K59" s="9">
        <f t="shared" si="2"/>
        <v>0.94117122851686819</v>
      </c>
    </row>
    <row r="60" spans="1:11" x14ac:dyDescent="0.35">
      <c r="A60" s="2" t="s">
        <v>600</v>
      </c>
      <c r="B60" s="4" t="s">
        <v>601</v>
      </c>
      <c r="C60" s="2" t="s">
        <v>27</v>
      </c>
      <c r="D60" s="2" t="s">
        <v>20</v>
      </c>
      <c r="E60" s="2" t="s">
        <v>12</v>
      </c>
      <c r="F60" s="2">
        <v>33064.29</v>
      </c>
      <c r="G60" s="2">
        <v>3319.75</v>
      </c>
      <c r="H60" s="2">
        <v>17</v>
      </c>
      <c r="I60" s="2">
        <f t="shared" si="0"/>
        <v>29744.54</v>
      </c>
      <c r="J60" s="2" t="str">
        <f t="shared" si="1"/>
        <v>June</v>
      </c>
      <c r="K60" s="9">
        <f t="shared" si="2"/>
        <v>0.89959711822029143</v>
      </c>
    </row>
    <row r="61" spans="1:11" x14ac:dyDescent="0.35">
      <c r="A61" s="2" t="s">
        <v>608</v>
      </c>
      <c r="B61" s="4" t="s">
        <v>180</v>
      </c>
      <c r="C61" s="2" t="s">
        <v>27</v>
      </c>
      <c r="D61" s="2" t="s">
        <v>20</v>
      </c>
      <c r="E61" s="2" t="s">
        <v>21</v>
      </c>
      <c r="F61" s="2">
        <v>1698.56</v>
      </c>
      <c r="G61" s="2">
        <v>109.9</v>
      </c>
      <c r="H61" s="2">
        <v>4</v>
      </c>
      <c r="I61" s="2">
        <f t="shared" si="0"/>
        <v>1588.6599999999999</v>
      </c>
      <c r="J61" s="2" t="str">
        <f t="shared" si="1"/>
        <v>January</v>
      </c>
      <c r="K61" s="9">
        <f t="shared" si="2"/>
        <v>0.93529813489073088</v>
      </c>
    </row>
    <row r="62" spans="1:11" x14ac:dyDescent="0.35">
      <c r="A62" s="2" t="s">
        <v>620</v>
      </c>
      <c r="B62" s="4" t="s">
        <v>82</v>
      </c>
      <c r="C62" s="2" t="s">
        <v>27</v>
      </c>
      <c r="D62" s="2" t="s">
        <v>20</v>
      </c>
      <c r="E62" s="2" t="s">
        <v>21</v>
      </c>
      <c r="F62" s="2">
        <v>15370.79</v>
      </c>
      <c r="G62" s="2">
        <v>1506.66</v>
      </c>
      <c r="H62" s="2">
        <v>6</v>
      </c>
      <c r="I62" s="2">
        <f t="shared" si="0"/>
        <v>13864.130000000001</v>
      </c>
      <c r="J62" s="2" t="str">
        <f t="shared" si="1"/>
        <v>October</v>
      </c>
      <c r="K62" s="9">
        <f t="shared" si="2"/>
        <v>0.9019790134404283</v>
      </c>
    </row>
    <row r="63" spans="1:11" x14ac:dyDescent="0.35">
      <c r="A63" s="2" t="s">
        <v>632</v>
      </c>
      <c r="B63" s="4" t="s">
        <v>197</v>
      </c>
      <c r="C63" s="2" t="s">
        <v>15</v>
      </c>
      <c r="D63" s="2" t="s">
        <v>20</v>
      </c>
      <c r="E63" s="2" t="s">
        <v>17</v>
      </c>
      <c r="F63" s="2">
        <v>39824.78</v>
      </c>
      <c r="G63" s="2">
        <v>8825.1</v>
      </c>
      <c r="H63" s="2">
        <v>6</v>
      </c>
      <c r="I63" s="2">
        <f t="shared" si="0"/>
        <v>30999.68</v>
      </c>
      <c r="J63" s="2" t="str">
        <f t="shared" si="1"/>
        <v>February</v>
      </c>
      <c r="K63" s="9">
        <f t="shared" si="2"/>
        <v>0.77840178903687607</v>
      </c>
    </row>
    <row r="64" spans="1:11" x14ac:dyDescent="0.35">
      <c r="A64" s="2" t="s">
        <v>636</v>
      </c>
      <c r="B64" s="4" t="s">
        <v>189</v>
      </c>
      <c r="C64" s="2" t="s">
        <v>15</v>
      </c>
      <c r="D64" s="2" t="s">
        <v>20</v>
      </c>
      <c r="E64" s="2" t="s">
        <v>12</v>
      </c>
      <c r="F64" s="2">
        <v>15189.95</v>
      </c>
      <c r="G64" s="2">
        <v>3963.26</v>
      </c>
      <c r="H64" s="2">
        <v>7</v>
      </c>
      <c r="I64" s="2">
        <f t="shared" si="0"/>
        <v>11226.69</v>
      </c>
      <c r="J64" s="2" t="str">
        <f t="shared" si="1"/>
        <v>May</v>
      </c>
      <c r="K64" s="9">
        <f t="shared" si="2"/>
        <v>0.73908669877122701</v>
      </c>
    </row>
    <row r="65" spans="1:11" x14ac:dyDescent="0.35">
      <c r="A65" s="2" t="s">
        <v>637</v>
      </c>
      <c r="B65" s="4" t="s">
        <v>375</v>
      </c>
      <c r="C65" s="2" t="s">
        <v>27</v>
      </c>
      <c r="D65" s="2" t="s">
        <v>20</v>
      </c>
      <c r="E65" s="2" t="s">
        <v>17</v>
      </c>
      <c r="F65" s="2">
        <v>20924.810000000001</v>
      </c>
      <c r="G65" s="2">
        <v>1580.8</v>
      </c>
      <c r="H65" s="2">
        <v>2</v>
      </c>
      <c r="I65" s="2">
        <f t="shared" si="0"/>
        <v>19344.010000000002</v>
      </c>
      <c r="J65" s="2" t="str">
        <f t="shared" si="1"/>
        <v>October</v>
      </c>
      <c r="K65" s="9">
        <f t="shared" si="2"/>
        <v>0.92445331642198902</v>
      </c>
    </row>
    <row r="66" spans="1:11" x14ac:dyDescent="0.35">
      <c r="A66" s="2" t="s">
        <v>652</v>
      </c>
      <c r="B66" s="4" t="s">
        <v>213</v>
      </c>
      <c r="C66" s="2" t="s">
        <v>27</v>
      </c>
      <c r="D66" s="2" t="s">
        <v>20</v>
      </c>
      <c r="E66" s="2" t="s">
        <v>21</v>
      </c>
      <c r="F66" s="2">
        <v>31927.5</v>
      </c>
      <c r="G66" s="2">
        <v>9415.01</v>
      </c>
      <c r="H66" s="2">
        <v>9</v>
      </c>
      <c r="I66" s="2">
        <f t="shared" ref="I66:I129" si="3">(F66-G66)</f>
        <v>22512.489999999998</v>
      </c>
      <c r="J66" s="2" t="str">
        <f t="shared" ref="J66:J129" si="4">TEXT(B66,"mmmm")</f>
        <v>November</v>
      </c>
      <c r="K66" s="9">
        <f t="shared" ref="K66:K129" si="5">(F66-G66)/F66</f>
        <v>0.70511283376399647</v>
      </c>
    </row>
    <row r="67" spans="1:11" x14ac:dyDescent="0.35">
      <c r="A67" s="2" t="s">
        <v>653</v>
      </c>
      <c r="B67" s="4" t="s">
        <v>654</v>
      </c>
      <c r="C67" s="2" t="s">
        <v>31</v>
      </c>
      <c r="D67" s="2" t="s">
        <v>20</v>
      </c>
      <c r="E67" s="2" t="s">
        <v>21</v>
      </c>
      <c r="F67" s="2">
        <v>16086.65</v>
      </c>
      <c r="G67" s="2">
        <v>4363.49</v>
      </c>
      <c r="H67" s="2">
        <v>1</v>
      </c>
      <c r="I67" s="2">
        <f t="shared" si="3"/>
        <v>11723.16</v>
      </c>
      <c r="J67" s="2" t="str">
        <f t="shared" si="4"/>
        <v>January</v>
      </c>
      <c r="K67" s="9">
        <f t="shared" si="5"/>
        <v>0.72875085863122524</v>
      </c>
    </row>
    <row r="68" spans="1:11" x14ac:dyDescent="0.35">
      <c r="A68" s="2" t="s">
        <v>672</v>
      </c>
      <c r="B68" s="4" t="s">
        <v>321</v>
      </c>
      <c r="C68" s="2" t="s">
        <v>31</v>
      </c>
      <c r="D68" s="2" t="s">
        <v>20</v>
      </c>
      <c r="E68" s="2" t="s">
        <v>21</v>
      </c>
      <c r="F68" s="2">
        <v>5295.63</v>
      </c>
      <c r="G68" s="2">
        <v>271.23</v>
      </c>
      <c r="H68" s="2">
        <v>6</v>
      </c>
      <c r="I68" s="2">
        <f t="shared" si="3"/>
        <v>5024.3999999999996</v>
      </c>
      <c r="J68" s="2" t="str">
        <f t="shared" si="4"/>
        <v>September</v>
      </c>
      <c r="K68" s="9">
        <f t="shared" si="5"/>
        <v>0.94878229785691215</v>
      </c>
    </row>
    <row r="69" spans="1:11" x14ac:dyDescent="0.35">
      <c r="A69" s="2" t="s">
        <v>675</v>
      </c>
      <c r="B69" s="4" t="s">
        <v>350</v>
      </c>
      <c r="C69" s="2" t="s">
        <v>15</v>
      </c>
      <c r="D69" s="2" t="s">
        <v>20</v>
      </c>
      <c r="E69" s="2" t="s">
        <v>12</v>
      </c>
      <c r="F69" s="2">
        <v>24774.06</v>
      </c>
      <c r="G69" s="2">
        <v>1448.75</v>
      </c>
      <c r="H69" s="2">
        <v>9</v>
      </c>
      <c r="I69" s="2">
        <f t="shared" si="3"/>
        <v>23325.31</v>
      </c>
      <c r="J69" s="2" t="str">
        <f t="shared" si="4"/>
        <v>March</v>
      </c>
      <c r="K69" s="9">
        <f t="shared" si="5"/>
        <v>0.94152149466014046</v>
      </c>
    </row>
    <row r="70" spans="1:11" x14ac:dyDescent="0.35">
      <c r="A70" s="2" t="s">
        <v>683</v>
      </c>
      <c r="B70" s="4" t="s">
        <v>684</v>
      </c>
      <c r="C70" s="2" t="s">
        <v>15</v>
      </c>
      <c r="D70" s="2" t="s">
        <v>20</v>
      </c>
      <c r="E70" s="2" t="s">
        <v>17</v>
      </c>
      <c r="F70" s="2">
        <v>3589.95</v>
      </c>
      <c r="G70" s="2">
        <v>308.31</v>
      </c>
      <c r="H70" s="2">
        <v>3</v>
      </c>
      <c r="I70" s="2">
        <f t="shared" si="3"/>
        <v>3281.64</v>
      </c>
      <c r="J70" s="2" t="str">
        <f t="shared" si="4"/>
        <v>December</v>
      </c>
      <c r="K70" s="9">
        <f t="shared" si="5"/>
        <v>0.91411858103873311</v>
      </c>
    </row>
    <row r="71" spans="1:11" x14ac:dyDescent="0.35">
      <c r="A71" s="2" t="s">
        <v>697</v>
      </c>
      <c r="B71" s="4" t="s">
        <v>698</v>
      </c>
      <c r="C71" s="2" t="s">
        <v>10</v>
      </c>
      <c r="D71" s="2" t="s">
        <v>20</v>
      </c>
      <c r="E71" s="2" t="s">
        <v>17</v>
      </c>
      <c r="F71" s="2">
        <v>35477.64</v>
      </c>
      <c r="G71" s="2">
        <v>7858.34</v>
      </c>
      <c r="H71" s="2">
        <v>1</v>
      </c>
      <c r="I71" s="2">
        <f t="shared" si="3"/>
        <v>27619.3</v>
      </c>
      <c r="J71" s="2" t="str">
        <f t="shared" si="4"/>
        <v>April</v>
      </c>
      <c r="K71" s="9">
        <f t="shared" si="5"/>
        <v>0.77849879529754518</v>
      </c>
    </row>
    <row r="72" spans="1:11" x14ac:dyDescent="0.35">
      <c r="A72" s="2" t="s">
        <v>702</v>
      </c>
      <c r="B72" s="4" t="s">
        <v>113</v>
      </c>
      <c r="C72" s="2" t="s">
        <v>27</v>
      </c>
      <c r="D72" s="2" t="s">
        <v>20</v>
      </c>
      <c r="E72" s="2" t="s">
        <v>12</v>
      </c>
      <c r="F72" s="2">
        <v>20741</v>
      </c>
      <c r="G72" s="2">
        <v>2718.37</v>
      </c>
      <c r="H72" s="2">
        <v>10</v>
      </c>
      <c r="I72" s="2">
        <f t="shared" si="3"/>
        <v>18022.63</v>
      </c>
      <c r="J72" s="2" t="str">
        <f t="shared" si="4"/>
        <v>May</v>
      </c>
      <c r="K72" s="9">
        <f t="shared" si="5"/>
        <v>0.86893737042572683</v>
      </c>
    </row>
    <row r="73" spans="1:11" x14ac:dyDescent="0.35">
      <c r="A73" s="2" t="s">
        <v>705</v>
      </c>
      <c r="B73" s="4" t="s">
        <v>44</v>
      </c>
      <c r="C73" s="2" t="s">
        <v>27</v>
      </c>
      <c r="D73" s="2" t="s">
        <v>20</v>
      </c>
      <c r="E73" s="2" t="s">
        <v>21</v>
      </c>
      <c r="F73" s="2">
        <v>15393.62</v>
      </c>
      <c r="G73" s="2">
        <v>2218.8200000000002</v>
      </c>
      <c r="H73" s="2">
        <v>2</v>
      </c>
      <c r="I73" s="2">
        <f t="shared" si="3"/>
        <v>13174.800000000001</v>
      </c>
      <c r="J73" s="2" t="str">
        <f t="shared" si="4"/>
        <v>March</v>
      </c>
      <c r="K73" s="9">
        <f t="shared" si="5"/>
        <v>0.85586106451893706</v>
      </c>
    </row>
    <row r="74" spans="1:11" x14ac:dyDescent="0.35">
      <c r="A74" s="2" t="s">
        <v>711</v>
      </c>
      <c r="B74" s="4" t="s">
        <v>313</v>
      </c>
      <c r="C74" s="2" t="s">
        <v>10</v>
      </c>
      <c r="D74" s="2" t="s">
        <v>20</v>
      </c>
      <c r="E74" s="2" t="s">
        <v>21</v>
      </c>
      <c r="F74" s="2">
        <v>19872.62</v>
      </c>
      <c r="G74" s="2">
        <v>2687.32</v>
      </c>
      <c r="H74" s="2">
        <v>19</v>
      </c>
      <c r="I74" s="2">
        <f t="shared" si="3"/>
        <v>17185.3</v>
      </c>
      <c r="J74" s="2" t="str">
        <f t="shared" si="4"/>
        <v>June</v>
      </c>
      <c r="K74" s="9">
        <f t="shared" si="5"/>
        <v>0.86477273756555506</v>
      </c>
    </row>
    <row r="75" spans="1:11" x14ac:dyDescent="0.35">
      <c r="A75" s="2" t="s">
        <v>713</v>
      </c>
      <c r="B75" s="4" t="s">
        <v>91</v>
      </c>
      <c r="C75" s="2" t="s">
        <v>15</v>
      </c>
      <c r="D75" s="2" t="s">
        <v>20</v>
      </c>
      <c r="E75" s="2" t="s">
        <v>12</v>
      </c>
      <c r="F75" s="2">
        <v>23127.72</v>
      </c>
      <c r="G75" s="2">
        <v>2996.03</v>
      </c>
      <c r="H75" s="2">
        <v>12</v>
      </c>
      <c r="I75" s="2">
        <f t="shared" si="3"/>
        <v>20131.690000000002</v>
      </c>
      <c r="J75" s="2" t="str">
        <f t="shared" si="4"/>
        <v>June</v>
      </c>
      <c r="K75" s="9">
        <f t="shared" si="5"/>
        <v>0.87045718298215302</v>
      </c>
    </row>
    <row r="76" spans="1:11" x14ac:dyDescent="0.35">
      <c r="A76" s="2" t="s">
        <v>716</v>
      </c>
      <c r="B76" s="4" t="s">
        <v>717</v>
      </c>
      <c r="C76" s="2" t="s">
        <v>31</v>
      </c>
      <c r="D76" s="2" t="s">
        <v>20</v>
      </c>
      <c r="E76" s="2" t="s">
        <v>21</v>
      </c>
      <c r="F76" s="2">
        <v>8388.11</v>
      </c>
      <c r="G76" s="2">
        <v>1467.98</v>
      </c>
      <c r="H76" s="2">
        <v>1</v>
      </c>
      <c r="I76" s="2">
        <f t="shared" si="3"/>
        <v>6920.130000000001</v>
      </c>
      <c r="J76" s="2" t="str">
        <f t="shared" si="4"/>
        <v>January</v>
      </c>
      <c r="K76" s="9">
        <f t="shared" si="5"/>
        <v>0.82499275760570623</v>
      </c>
    </row>
    <row r="77" spans="1:11" x14ac:dyDescent="0.35">
      <c r="A77" s="2" t="s">
        <v>735</v>
      </c>
      <c r="B77" s="4" t="s">
        <v>576</v>
      </c>
      <c r="C77" s="2" t="s">
        <v>31</v>
      </c>
      <c r="D77" s="2" t="s">
        <v>20</v>
      </c>
      <c r="E77" s="2" t="s">
        <v>12</v>
      </c>
      <c r="F77" s="2">
        <v>13305.1</v>
      </c>
      <c r="G77" s="2">
        <v>3955.54</v>
      </c>
      <c r="H77" s="2">
        <v>10</v>
      </c>
      <c r="I77" s="2">
        <f t="shared" si="3"/>
        <v>9349.5600000000013</v>
      </c>
      <c r="J77" s="2" t="str">
        <f t="shared" si="4"/>
        <v>March</v>
      </c>
      <c r="K77" s="9">
        <f t="shared" si="5"/>
        <v>0.70270497779047136</v>
      </c>
    </row>
    <row r="78" spans="1:11" x14ac:dyDescent="0.35">
      <c r="A78" s="2" t="s">
        <v>786</v>
      </c>
      <c r="B78" s="4" t="s">
        <v>719</v>
      </c>
      <c r="C78" s="2" t="s">
        <v>15</v>
      </c>
      <c r="D78" s="2" t="s">
        <v>20</v>
      </c>
      <c r="E78" s="2" t="s">
        <v>17</v>
      </c>
      <c r="F78" s="2">
        <v>26449.61</v>
      </c>
      <c r="G78" s="2">
        <v>2404.65</v>
      </c>
      <c r="H78" s="2">
        <v>5</v>
      </c>
      <c r="I78" s="2">
        <f t="shared" si="3"/>
        <v>24044.959999999999</v>
      </c>
      <c r="J78" s="2" t="str">
        <f t="shared" si="4"/>
        <v>September</v>
      </c>
      <c r="K78" s="9">
        <f t="shared" si="5"/>
        <v>0.90908561600719251</v>
      </c>
    </row>
    <row r="79" spans="1:11" x14ac:dyDescent="0.35">
      <c r="A79" s="2" t="s">
        <v>789</v>
      </c>
      <c r="B79" s="4" t="s">
        <v>790</v>
      </c>
      <c r="C79" s="2" t="s">
        <v>31</v>
      </c>
      <c r="D79" s="2" t="s">
        <v>20</v>
      </c>
      <c r="E79" s="2" t="s">
        <v>21</v>
      </c>
      <c r="F79" s="2">
        <v>22443.02</v>
      </c>
      <c r="G79" s="2">
        <v>1262.53</v>
      </c>
      <c r="H79" s="2">
        <v>3</v>
      </c>
      <c r="I79" s="2">
        <f t="shared" si="3"/>
        <v>21180.49</v>
      </c>
      <c r="J79" s="2" t="str">
        <f t="shared" si="4"/>
        <v>September</v>
      </c>
      <c r="K79" s="9">
        <f t="shared" si="5"/>
        <v>0.94374509312917787</v>
      </c>
    </row>
    <row r="80" spans="1:11" x14ac:dyDescent="0.35">
      <c r="A80" s="2" t="s">
        <v>796</v>
      </c>
      <c r="B80" s="4" t="s">
        <v>581</v>
      </c>
      <c r="C80" s="2" t="s">
        <v>10</v>
      </c>
      <c r="D80" s="2" t="s">
        <v>20</v>
      </c>
      <c r="E80" s="2" t="s">
        <v>17</v>
      </c>
      <c r="F80" s="2">
        <v>20821.189999999999</v>
      </c>
      <c r="G80" s="2">
        <v>2648.28</v>
      </c>
      <c r="H80" s="2">
        <v>4</v>
      </c>
      <c r="I80" s="2">
        <f t="shared" si="3"/>
        <v>18172.91</v>
      </c>
      <c r="J80" s="2" t="str">
        <f t="shared" si="4"/>
        <v>December</v>
      </c>
      <c r="K80" s="9">
        <f t="shared" si="5"/>
        <v>0.87280842257334956</v>
      </c>
    </row>
    <row r="81" spans="1:11" x14ac:dyDescent="0.35">
      <c r="A81" s="2" t="s">
        <v>818</v>
      </c>
      <c r="B81" s="4" t="s">
        <v>78</v>
      </c>
      <c r="C81" s="2" t="s">
        <v>27</v>
      </c>
      <c r="D81" s="2" t="s">
        <v>20</v>
      </c>
      <c r="E81" s="2" t="s">
        <v>17</v>
      </c>
      <c r="F81" s="2">
        <v>889.94</v>
      </c>
      <c r="G81" s="2">
        <v>134.77000000000001</v>
      </c>
      <c r="H81" s="2">
        <v>5</v>
      </c>
      <c r="I81" s="2">
        <f t="shared" si="3"/>
        <v>755.17000000000007</v>
      </c>
      <c r="J81" s="2" t="str">
        <f t="shared" si="4"/>
        <v>August</v>
      </c>
      <c r="K81" s="9">
        <f t="shared" si="5"/>
        <v>0.84856282446007603</v>
      </c>
    </row>
    <row r="82" spans="1:11" x14ac:dyDescent="0.35">
      <c r="A82" s="2" t="s">
        <v>823</v>
      </c>
      <c r="B82" s="4" t="s">
        <v>618</v>
      </c>
      <c r="C82" s="2" t="s">
        <v>15</v>
      </c>
      <c r="D82" s="2" t="s">
        <v>20</v>
      </c>
      <c r="E82" s="2" t="s">
        <v>17</v>
      </c>
      <c r="F82" s="2">
        <v>38215.199999999997</v>
      </c>
      <c r="G82" s="2">
        <v>6108.14</v>
      </c>
      <c r="H82" s="2">
        <v>6</v>
      </c>
      <c r="I82" s="2">
        <f t="shared" si="3"/>
        <v>32107.059999999998</v>
      </c>
      <c r="J82" s="2" t="str">
        <f t="shared" si="4"/>
        <v>January</v>
      </c>
      <c r="K82" s="9">
        <f t="shared" si="5"/>
        <v>0.84016464652808309</v>
      </c>
    </row>
    <row r="83" spans="1:11" x14ac:dyDescent="0.35">
      <c r="A83" s="2" t="s">
        <v>832</v>
      </c>
      <c r="B83" s="4" t="s">
        <v>168</v>
      </c>
      <c r="C83" s="2" t="s">
        <v>31</v>
      </c>
      <c r="D83" s="2" t="s">
        <v>20</v>
      </c>
      <c r="E83" s="2" t="s">
        <v>17</v>
      </c>
      <c r="F83" s="2">
        <v>23697.53</v>
      </c>
      <c r="G83" s="2">
        <v>6600.65</v>
      </c>
      <c r="H83" s="2">
        <v>20</v>
      </c>
      <c r="I83" s="2">
        <f t="shared" si="3"/>
        <v>17096.879999999997</v>
      </c>
      <c r="J83" s="2" t="str">
        <f t="shared" si="4"/>
        <v>August</v>
      </c>
      <c r="K83" s="9">
        <f t="shared" si="5"/>
        <v>0.72146253217107426</v>
      </c>
    </row>
    <row r="84" spans="1:11" x14ac:dyDescent="0.35">
      <c r="A84" s="2" t="s">
        <v>846</v>
      </c>
      <c r="B84" s="4" t="s">
        <v>444</v>
      </c>
      <c r="C84" s="2" t="s">
        <v>31</v>
      </c>
      <c r="D84" s="2" t="s">
        <v>20</v>
      </c>
      <c r="E84" s="2" t="s">
        <v>12</v>
      </c>
      <c r="F84" s="2">
        <v>1697.09</v>
      </c>
      <c r="G84" s="2">
        <v>86.8</v>
      </c>
      <c r="H84" s="2">
        <v>19</v>
      </c>
      <c r="I84" s="2">
        <f t="shared" si="3"/>
        <v>1610.29</v>
      </c>
      <c r="J84" s="2" t="str">
        <f t="shared" si="4"/>
        <v>August</v>
      </c>
      <c r="K84" s="9">
        <f t="shared" si="5"/>
        <v>0.94885362591259159</v>
      </c>
    </row>
    <row r="85" spans="1:11" x14ac:dyDescent="0.35">
      <c r="A85" s="2" t="s">
        <v>851</v>
      </c>
      <c r="B85" s="4" t="s">
        <v>248</v>
      </c>
      <c r="C85" s="2" t="s">
        <v>31</v>
      </c>
      <c r="D85" s="2" t="s">
        <v>20</v>
      </c>
      <c r="E85" s="2" t="s">
        <v>17</v>
      </c>
      <c r="F85" s="2">
        <v>42338.66</v>
      </c>
      <c r="G85" s="2">
        <v>5277.74</v>
      </c>
      <c r="H85" s="2">
        <v>11</v>
      </c>
      <c r="I85" s="2">
        <f t="shared" si="3"/>
        <v>37060.920000000006</v>
      </c>
      <c r="J85" s="2" t="str">
        <f t="shared" si="4"/>
        <v>May</v>
      </c>
      <c r="K85" s="9">
        <f t="shared" si="5"/>
        <v>0.87534466135678368</v>
      </c>
    </row>
    <row r="86" spans="1:11" x14ac:dyDescent="0.35">
      <c r="A86" s="2" t="s">
        <v>852</v>
      </c>
      <c r="B86" s="4" t="s">
        <v>662</v>
      </c>
      <c r="C86" s="2" t="s">
        <v>15</v>
      </c>
      <c r="D86" s="2" t="s">
        <v>20</v>
      </c>
      <c r="E86" s="2" t="s">
        <v>12</v>
      </c>
      <c r="F86" s="2">
        <v>30714.19</v>
      </c>
      <c r="G86" s="2">
        <v>6467.46</v>
      </c>
      <c r="H86" s="2">
        <v>20</v>
      </c>
      <c r="I86" s="2">
        <f t="shared" si="3"/>
        <v>24246.73</v>
      </c>
      <c r="J86" s="2" t="str">
        <f t="shared" si="4"/>
        <v>October</v>
      </c>
      <c r="K86" s="9">
        <f t="shared" si="5"/>
        <v>0.78943087869157547</v>
      </c>
    </row>
    <row r="87" spans="1:11" x14ac:dyDescent="0.35">
      <c r="A87" s="2" t="s">
        <v>864</v>
      </c>
      <c r="B87" s="4" t="s">
        <v>452</v>
      </c>
      <c r="C87" s="2" t="s">
        <v>15</v>
      </c>
      <c r="D87" s="2" t="s">
        <v>20</v>
      </c>
      <c r="E87" s="2" t="s">
        <v>12</v>
      </c>
      <c r="F87" s="2">
        <v>45985.440000000002</v>
      </c>
      <c r="G87" s="2">
        <v>11507.78</v>
      </c>
      <c r="H87" s="2">
        <v>9</v>
      </c>
      <c r="I87" s="2">
        <f t="shared" si="3"/>
        <v>34477.660000000003</v>
      </c>
      <c r="J87" s="2" t="str">
        <f t="shared" si="4"/>
        <v>December</v>
      </c>
      <c r="K87" s="9">
        <f t="shared" si="5"/>
        <v>0.7497516605255925</v>
      </c>
    </row>
    <row r="88" spans="1:11" x14ac:dyDescent="0.35">
      <c r="A88" s="2" t="s">
        <v>875</v>
      </c>
      <c r="B88" s="4" t="s">
        <v>50</v>
      </c>
      <c r="C88" s="2" t="s">
        <v>31</v>
      </c>
      <c r="D88" s="2" t="s">
        <v>20</v>
      </c>
      <c r="E88" s="2" t="s">
        <v>17</v>
      </c>
      <c r="F88" s="2">
        <v>43875.23</v>
      </c>
      <c r="G88" s="2">
        <v>9631.7199999999993</v>
      </c>
      <c r="H88" s="2">
        <v>13</v>
      </c>
      <c r="I88" s="2">
        <f t="shared" si="3"/>
        <v>34243.51</v>
      </c>
      <c r="J88" s="2" t="str">
        <f t="shared" si="4"/>
        <v>June</v>
      </c>
      <c r="K88" s="9">
        <f t="shared" si="5"/>
        <v>0.78047476902115387</v>
      </c>
    </row>
    <row r="89" spans="1:11" x14ac:dyDescent="0.35">
      <c r="A89" s="2" t="s">
        <v>881</v>
      </c>
      <c r="B89" s="4" t="s">
        <v>282</v>
      </c>
      <c r="C89" s="2" t="s">
        <v>10</v>
      </c>
      <c r="D89" s="2" t="s">
        <v>20</v>
      </c>
      <c r="E89" s="2" t="s">
        <v>12</v>
      </c>
      <c r="F89" s="2">
        <v>38152.239999999998</v>
      </c>
      <c r="G89" s="2">
        <v>2394.5100000000002</v>
      </c>
      <c r="H89" s="2">
        <v>17</v>
      </c>
      <c r="I89" s="2">
        <f t="shared" si="3"/>
        <v>35757.729999999996</v>
      </c>
      <c r="J89" s="2" t="str">
        <f t="shared" si="4"/>
        <v>June</v>
      </c>
      <c r="K89" s="9">
        <f t="shared" si="5"/>
        <v>0.93723802324581718</v>
      </c>
    </row>
    <row r="90" spans="1:11" x14ac:dyDescent="0.35">
      <c r="A90" s="2" t="s">
        <v>882</v>
      </c>
      <c r="B90" s="4" t="s">
        <v>745</v>
      </c>
      <c r="C90" s="2" t="s">
        <v>31</v>
      </c>
      <c r="D90" s="2" t="s">
        <v>20</v>
      </c>
      <c r="E90" s="2" t="s">
        <v>17</v>
      </c>
      <c r="F90" s="2">
        <v>26275.18</v>
      </c>
      <c r="G90" s="2">
        <v>4434.3500000000004</v>
      </c>
      <c r="H90" s="2">
        <v>6</v>
      </c>
      <c r="I90" s="2">
        <f t="shared" si="3"/>
        <v>21840.83</v>
      </c>
      <c r="J90" s="2" t="str">
        <f t="shared" si="4"/>
        <v>January</v>
      </c>
      <c r="K90" s="9">
        <f t="shared" si="5"/>
        <v>0.83123426747219242</v>
      </c>
    </row>
    <row r="91" spans="1:11" x14ac:dyDescent="0.35">
      <c r="A91" s="2" t="s">
        <v>887</v>
      </c>
      <c r="B91" s="4" t="s">
        <v>38</v>
      </c>
      <c r="C91" s="2" t="s">
        <v>15</v>
      </c>
      <c r="D91" s="2" t="s">
        <v>20</v>
      </c>
      <c r="E91" s="2" t="s">
        <v>21</v>
      </c>
      <c r="F91" s="2">
        <v>23400.18</v>
      </c>
      <c r="G91" s="2">
        <v>2338.84</v>
      </c>
      <c r="H91" s="2">
        <v>6</v>
      </c>
      <c r="I91" s="2">
        <f t="shared" si="3"/>
        <v>21061.34</v>
      </c>
      <c r="J91" s="2" t="str">
        <f t="shared" si="4"/>
        <v>May</v>
      </c>
      <c r="K91" s="9">
        <f t="shared" si="5"/>
        <v>0.90005034149309959</v>
      </c>
    </row>
    <row r="92" spans="1:11" x14ac:dyDescent="0.35">
      <c r="A92" s="2" t="s">
        <v>889</v>
      </c>
      <c r="B92" s="4" t="s">
        <v>191</v>
      </c>
      <c r="C92" s="2" t="s">
        <v>10</v>
      </c>
      <c r="D92" s="2" t="s">
        <v>20</v>
      </c>
      <c r="E92" s="2" t="s">
        <v>12</v>
      </c>
      <c r="F92" s="2">
        <v>32845.199999999997</v>
      </c>
      <c r="G92" s="2">
        <v>7427.29</v>
      </c>
      <c r="H92" s="2">
        <v>19</v>
      </c>
      <c r="I92" s="2">
        <f t="shared" si="3"/>
        <v>25417.909999999996</v>
      </c>
      <c r="J92" s="2" t="str">
        <f t="shared" si="4"/>
        <v>November</v>
      </c>
      <c r="K92" s="9">
        <f t="shared" si="5"/>
        <v>0.77386985008463938</v>
      </c>
    </row>
    <row r="93" spans="1:11" x14ac:dyDescent="0.35">
      <c r="A93" s="2" t="s">
        <v>891</v>
      </c>
      <c r="B93" s="4" t="s">
        <v>248</v>
      </c>
      <c r="C93" s="2" t="s">
        <v>27</v>
      </c>
      <c r="D93" s="2" t="s">
        <v>20</v>
      </c>
      <c r="E93" s="2" t="s">
        <v>21</v>
      </c>
      <c r="F93" s="2">
        <v>31312.84</v>
      </c>
      <c r="G93" s="2">
        <v>7765.93</v>
      </c>
      <c r="H93" s="2">
        <v>1</v>
      </c>
      <c r="I93" s="2">
        <f t="shared" si="3"/>
        <v>23546.91</v>
      </c>
      <c r="J93" s="2" t="str">
        <f t="shared" si="4"/>
        <v>May</v>
      </c>
      <c r="K93" s="9">
        <f t="shared" si="5"/>
        <v>0.75198896043923191</v>
      </c>
    </row>
    <row r="94" spans="1:11" x14ac:dyDescent="0.35">
      <c r="A94" s="2" t="s">
        <v>893</v>
      </c>
      <c r="B94" s="4" t="s">
        <v>250</v>
      </c>
      <c r="C94" s="2" t="s">
        <v>10</v>
      </c>
      <c r="D94" s="2" t="s">
        <v>20</v>
      </c>
      <c r="E94" s="2" t="s">
        <v>17</v>
      </c>
      <c r="F94" s="2">
        <v>34685.96</v>
      </c>
      <c r="G94" s="2">
        <v>2889.3</v>
      </c>
      <c r="H94" s="2">
        <v>12</v>
      </c>
      <c r="I94" s="2">
        <f t="shared" si="3"/>
        <v>31796.66</v>
      </c>
      <c r="J94" s="2" t="str">
        <f t="shared" si="4"/>
        <v>February</v>
      </c>
      <c r="K94" s="9">
        <f t="shared" si="5"/>
        <v>0.91670116669684221</v>
      </c>
    </row>
    <row r="95" spans="1:11" x14ac:dyDescent="0.35">
      <c r="A95" s="2" t="s">
        <v>895</v>
      </c>
      <c r="B95" s="4" t="s">
        <v>869</v>
      </c>
      <c r="C95" s="2" t="s">
        <v>27</v>
      </c>
      <c r="D95" s="2" t="s">
        <v>20</v>
      </c>
      <c r="E95" s="2" t="s">
        <v>21</v>
      </c>
      <c r="F95" s="2">
        <v>37533.040000000001</v>
      </c>
      <c r="G95" s="2">
        <v>6175.11</v>
      </c>
      <c r="H95" s="2">
        <v>18</v>
      </c>
      <c r="I95" s="2">
        <f t="shared" si="3"/>
        <v>31357.93</v>
      </c>
      <c r="J95" s="2" t="str">
        <f t="shared" si="4"/>
        <v>March</v>
      </c>
      <c r="K95" s="9">
        <f t="shared" si="5"/>
        <v>0.83547535717863508</v>
      </c>
    </row>
    <row r="96" spans="1:11" x14ac:dyDescent="0.35">
      <c r="A96" s="2" t="s">
        <v>896</v>
      </c>
      <c r="B96" s="4" t="s">
        <v>297</v>
      </c>
      <c r="C96" s="2" t="s">
        <v>10</v>
      </c>
      <c r="D96" s="2" t="s">
        <v>20</v>
      </c>
      <c r="E96" s="2" t="s">
        <v>21</v>
      </c>
      <c r="F96" s="2">
        <v>40365.910000000003</v>
      </c>
      <c r="G96" s="2">
        <v>3137.62</v>
      </c>
      <c r="H96" s="2">
        <v>18</v>
      </c>
      <c r="I96" s="2">
        <f t="shared" si="3"/>
        <v>37228.29</v>
      </c>
      <c r="J96" s="2" t="str">
        <f t="shared" si="4"/>
        <v>October</v>
      </c>
      <c r="K96" s="9">
        <f t="shared" si="5"/>
        <v>0.92227054958007881</v>
      </c>
    </row>
    <row r="97" spans="1:11" x14ac:dyDescent="0.35">
      <c r="A97" s="2" t="s">
        <v>898</v>
      </c>
      <c r="B97" s="4" t="s">
        <v>402</v>
      </c>
      <c r="C97" s="2" t="s">
        <v>15</v>
      </c>
      <c r="D97" s="2" t="s">
        <v>20</v>
      </c>
      <c r="E97" s="2" t="s">
        <v>17</v>
      </c>
      <c r="F97" s="2">
        <v>17577.66</v>
      </c>
      <c r="G97" s="2">
        <v>2268.4899999999998</v>
      </c>
      <c r="H97" s="2">
        <v>11</v>
      </c>
      <c r="I97" s="2">
        <f t="shared" si="3"/>
        <v>15309.17</v>
      </c>
      <c r="J97" s="2" t="str">
        <f t="shared" si="4"/>
        <v>November</v>
      </c>
      <c r="K97" s="9">
        <f t="shared" si="5"/>
        <v>0.87094471050185296</v>
      </c>
    </row>
    <row r="98" spans="1:11" x14ac:dyDescent="0.35">
      <c r="A98" s="2" t="s">
        <v>923</v>
      </c>
      <c r="B98" s="4" t="s">
        <v>113</v>
      </c>
      <c r="C98" s="2" t="s">
        <v>15</v>
      </c>
      <c r="D98" s="2" t="s">
        <v>20</v>
      </c>
      <c r="E98" s="2" t="s">
        <v>12</v>
      </c>
      <c r="F98" s="2">
        <v>47445.49</v>
      </c>
      <c r="G98" s="2">
        <v>9688.16</v>
      </c>
      <c r="H98" s="2">
        <v>1</v>
      </c>
      <c r="I98" s="2">
        <f t="shared" si="3"/>
        <v>37757.33</v>
      </c>
      <c r="J98" s="2" t="str">
        <f t="shared" si="4"/>
        <v>May</v>
      </c>
      <c r="K98" s="9">
        <f t="shared" si="5"/>
        <v>0.79580440627760407</v>
      </c>
    </row>
    <row r="99" spans="1:11" x14ac:dyDescent="0.35">
      <c r="A99" s="2" t="s">
        <v>924</v>
      </c>
      <c r="B99" s="4" t="s">
        <v>456</v>
      </c>
      <c r="C99" s="2" t="s">
        <v>10</v>
      </c>
      <c r="D99" s="2" t="s">
        <v>20</v>
      </c>
      <c r="E99" s="2" t="s">
        <v>12</v>
      </c>
      <c r="F99" s="2">
        <v>35061.25</v>
      </c>
      <c r="G99" s="2">
        <v>6705.49</v>
      </c>
      <c r="H99" s="2">
        <v>2</v>
      </c>
      <c r="I99" s="2">
        <f t="shared" si="3"/>
        <v>28355.760000000002</v>
      </c>
      <c r="J99" s="2" t="str">
        <f t="shared" si="4"/>
        <v>April</v>
      </c>
      <c r="K99" s="9">
        <f t="shared" si="5"/>
        <v>0.80874926022318094</v>
      </c>
    </row>
    <row r="100" spans="1:11" x14ac:dyDescent="0.35">
      <c r="A100" s="2" t="s">
        <v>928</v>
      </c>
      <c r="B100" s="4" t="s">
        <v>929</v>
      </c>
      <c r="C100" s="2" t="s">
        <v>10</v>
      </c>
      <c r="D100" s="2" t="s">
        <v>20</v>
      </c>
      <c r="E100" s="2" t="s">
        <v>17</v>
      </c>
      <c r="F100" s="2">
        <v>26487.439999999999</v>
      </c>
      <c r="G100" s="2">
        <v>7764.34</v>
      </c>
      <c r="H100" s="2">
        <v>18</v>
      </c>
      <c r="I100" s="2">
        <f t="shared" si="3"/>
        <v>18723.099999999999</v>
      </c>
      <c r="J100" s="2" t="str">
        <f t="shared" si="4"/>
        <v>October</v>
      </c>
      <c r="K100" s="9">
        <f t="shared" si="5"/>
        <v>0.70686710380467122</v>
      </c>
    </row>
    <row r="101" spans="1:11" x14ac:dyDescent="0.35">
      <c r="A101" s="2" t="s">
        <v>930</v>
      </c>
      <c r="B101" s="4" t="s">
        <v>931</v>
      </c>
      <c r="C101" s="2" t="s">
        <v>15</v>
      </c>
      <c r="D101" s="2" t="s">
        <v>20</v>
      </c>
      <c r="E101" s="2" t="s">
        <v>17</v>
      </c>
      <c r="F101" s="2">
        <v>36409.279999999999</v>
      </c>
      <c r="G101" s="2">
        <v>8364.27</v>
      </c>
      <c r="H101" s="2">
        <v>14</v>
      </c>
      <c r="I101" s="2">
        <f t="shared" si="3"/>
        <v>28045.01</v>
      </c>
      <c r="J101" s="2" t="str">
        <f t="shared" si="4"/>
        <v>April</v>
      </c>
      <c r="K101" s="9">
        <f t="shared" si="5"/>
        <v>0.77027093092749976</v>
      </c>
    </row>
    <row r="102" spans="1:11" x14ac:dyDescent="0.35">
      <c r="A102" s="2" t="s">
        <v>957</v>
      </c>
      <c r="B102" s="4" t="s">
        <v>48</v>
      </c>
      <c r="C102" s="2" t="s">
        <v>10</v>
      </c>
      <c r="D102" s="2" t="s">
        <v>20</v>
      </c>
      <c r="E102" s="2" t="s">
        <v>12</v>
      </c>
      <c r="F102" s="2">
        <v>15934.83</v>
      </c>
      <c r="G102" s="2">
        <v>4700.62</v>
      </c>
      <c r="H102" s="2">
        <v>20</v>
      </c>
      <c r="I102" s="2">
        <f t="shared" si="3"/>
        <v>11234.21</v>
      </c>
      <c r="J102" s="2" t="str">
        <f t="shared" si="4"/>
        <v>October</v>
      </c>
      <c r="K102" s="9">
        <f t="shared" si="5"/>
        <v>0.70500971770643295</v>
      </c>
    </row>
    <row r="103" spans="1:11" x14ac:dyDescent="0.35">
      <c r="A103" s="2" t="s">
        <v>986</v>
      </c>
      <c r="B103" s="4" t="s">
        <v>599</v>
      </c>
      <c r="C103" s="2" t="s">
        <v>15</v>
      </c>
      <c r="D103" s="2" t="s">
        <v>20</v>
      </c>
      <c r="E103" s="2" t="s">
        <v>12</v>
      </c>
      <c r="F103" s="2">
        <v>14932.52</v>
      </c>
      <c r="G103" s="2">
        <v>3079.09</v>
      </c>
      <c r="H103" s="2">
        <v>1</v>
      </c>
      <c r="I103" s="2">
        <f t="shared" si="3"/>
        <v>11853.43</v>
      </c>
      <c r="J103" s="2" t="str">
        <f t="shared" si="4"/>
        <v>May</v>
      </c>
      <c r="K103" s="9">
        <f t="shared" si="5"/>
        <v>0.79379970694832491</v>
      </c>
    </row>
    <row r="104" spans="1:11" x14ac:dyDescent="0.35">
      <c r="A104" s="2" t="s">
        <v>987</v>
      </c>
      <c r="B104" s="4" t="s">
        <v>275</v>
      </c>
      <c r="C104" s="2" t="s">
        <v>15</v>
      </c>
      <c r="D104" s="2" t="s">
        <v>20</v>
      </c>
      <c r="E104" s="2" t="s">
        <v>12</v>
      </c>
      <c r="F104" s="2">
        <v>7667.46</v>
      </c>
      <c r="G104" s="2">
        <v>773.15</v>
      </c>
      <c r="H104" s="2">
        <v>1</v>
      </c>
      <c r="I104" s="2">
        <f t="shared" si="3"/>
        <v>6894.31</v>
      </c>
      <c r="J104" s="2" t="str">
        <f t="shared" si="4"/>
        <v>August</v>
      </c>
      <c r="K104" s="9">
        <f t="shared" si="5"/>
        <v>0.89916478207907191</v>
      </c>
    </row>
    <row r="105" spans="1:11" x14ac:dyDescent="0.35">
      <c r="A105" s="2" t="s">
        <v>990</v>
      </c>
      <c r="B105" s="4" t="s">
        <v>346</v>
      </c>
      <c r="C105" s="2" t="s">
        <v>31</v>
      </c>
      <c r="D105" s="2" t="s">
        <v>20</v>
      </c>
      <c r="E105" s="2" t="s">
        <v>21</v>
      </c>
      <c r="F105" s="2">
        <v>35561.51</v>
      </c>
      <c r="G105" s="2">
        <v>6962.86</v>
      </c>
      <c r="H105" s="2">
        <v>7</v>
      </c>
      <c r="I105" s="2">
        <f t="shared" si="3"/>
        <v>28598.65</v>
      </c>
      <c r="J105" s="2" t="str">
        <f t="shared" si="4"/>
        <v>December</v>
      </c>
      <c r="K105" s="9">
        <f t="shared" si="5"/>
        <v>0.80420235248728189</v>
      </c>
    </row>
    <row r="106" spans="1:11" x14ac:dyDescent="0.35">
      <c r="A106" s="2" t="s">
        <v>996</v>
      </c>
      <c r="B106" s="4" t="s">
        <v>950</v>
      </c>
      <c r="C106" s="2" t="s">
        <v>15</v>
      </c>
      <c r="D106" s="2" t="s">
        <v>20</v>
      </c>
      <c r="E106" s="2" t="s">
        <v>17</v>
      </c>
      <c r="F106" s="2">
        <v>38664.800000000003</v>
      </c>
      <c r="G106" s="2">
        <v>9817.4</v>
      </c>
      <c r="H106" s="2">
        <v>5</v>
      </c>
      <c r="I106" s="2">
        <f t="shared" si="3"/>
        <v>28847.4</v>
      </c>
      <c r="J106" s="2" t="str">
        <f t="shared" si="4"/>
        <v>August</v>
      </c>
      <c r="K106" s="9">
        <f t="shared" si="5"/>
        <v>0.74608946638803253</v>
      </c>
    </row>
    <row r="107" spans="1:11" x14ac:dyDescent="0.35">
      <c r="A107" s="2" t="s">
        <v>1016</v>
      </c>
      <c r="B107" s="4" t="s">
        <v>416</v>
      </c>
      <c r="C107" s="2" t="s">
        <v>27</v>
      </c>
      <c r="D107" s="2" t="s">
        <v>20</v>
      </c>
      <c r="E107" s="2" t="s">
        <v>17</v>
      </c>
      <c r="F107" s="2">
        <v>27223.31</v>
      </c>
      <c r="G107" s="2">
        <v>7717.59</v>
      </c>
      <c r="H107" s="2">
        <v>10</v>
      </c>
      <c r="I107" s="2">
        <f t="shared" si="3"/>
        <v>19505.72</v>
      </c>
      <c r="J107" s="2" t="str">
        <f t="shared" si="4"/>
        <v>September</v>
      </c>
      <c r="K107" s="9">
        <f t="shared" si="5"/>
        <v>0.71650802198557051</v>
      </c>
    </row>
    <row r="108" spans="1:11" x14ac:dyDescent="0.35">
      <c r="A108" s="2" t="s">
        <v>1034</v>
      </c>
      <c r="B108" s="4" t="s">
        <v>494</v>
      </c>
      <c r="C108" s="2" t="s">
        <v>10</v>
      </c>
      <c r="D108" s="2" t="s">
        <v>20</v>
      </c>
      <c r="E108" s="2" t="s">
        <v>21</v>
      </c>
      <c r="F108" s="2">
        <v>49805.15</v>
      </c>
      <c r="G108" s="2">
        <v>11472.18</v>
      </c>
      <c r="H108" s="2">
        <v>1</v>
      </c>
      <c r="I108" s="2">
        <f t="shared" si="3"/>
        <v>38332.97</v>
      </c>
      <c r="J108" s="2" t="str">
        <f t="shared" si="4"/>
        <v>September</v>
      </c>
      <c r="K108" s="9">
        <f t="shared" si="5"/>
        <v>0.76965876018845436</v>
      </c>
    </row>
    <row r="109" spans="1:11" x14ac:dyDescent="0.35">
      <c r="A109" s="2" t="s">
        <v>1035</v>
      </c>
      <c r="B109" s="4" t="s">
        <v>800</v>
      </c>
      <c r="C109" s="2" t="s">
        <v>27</v>
      </c>
      <c r="D109" s="2" t="s">
        <v>20</v>
      </c>
      <c r="E109" s="2" t="s">
        <v>12</v>
      </c>
      <c r="F109" s="2">
        <v>36831.53</v>
      </c>
      <c r="G109" s="2">
        <v>7409.07</v>
      </c>
      <c r="H109" s="2">
        <v>10</v>
      </c>
      <c r="I109" s="2">
        <f t="shared" si="3"/>
        <v>29422.46</v>
      </c>
      <c r="J109" s="2" t="str">
        <f t="shared" si="4"/>
        <v>April</v>
      </c>
      <c r="K109" s="9">
        <f t="shared" si="5"/>
        <v>0.79883892958017222</v>
      </c>
    </row>
    <row r="110" spans="1:11" x14ac:dyDescent="0.35">
      <c r="A110" s="2" t="s">
        <v>1038</v>
      </c>
      <c r="B110" s="4" t="s">
        <v>121</v>
      </c>
      <c r="C110" s="2" t="s">
        <v>31</v>
      </c>
      <c r="D110" s="2" t="s">
        <v>20</v>
      </c>
      <c r="E110" s="2" t="s">
        <v>21</v>
      </c>
      <c r="F110" s="2">
        <v>31749.71</v>
      </c>
      <c r="G110" s="2">
        <v>7737.05</v>
      </c>
      <c r="H110" s="2">
        <v>9</v>
      </c>
      <c r="I110" s="2">
        <f t="shared" si="3"/>
        <v>24012.66</v>
      </c>
      <c r="J110" s="2" t="str">
        <f t="shared" si="4"/>
        <v>May</v>
      </c>
      <c r="K110" s="9">
        <f t="shared" si="5"/>
        <v>0.7563111600074458</v>
      </c>
    </row>
    <row r="111" spans="1:11" x14ac:dyDescent="0.35">
      <c r="A111" s="2" t="s">
        <v>1040</v>
      </c>
      <c r="B111" s="4" t="s">
        <v>379</v>
      </c>
      <c r="C111" s="2" t="s">
        <v>31</v>
      </c>
      <c r="D111" s="2" t="s">
        <v>20</v>
      </c>
      <c r="E111" s="2" t="s">
        <v>17</v>
      </c>
      <c r="F111" s="2">
        <v>1646.73</v>
      </c>
      <c r="G111" s="2">
        <v>320.62</v>
      </c>
      <c r="H111" s="2">
        <v>15</v>
      </c>
      <c r="I111" s="2">
        <f t="shared" si="3"/>
        <v>1326.1100000000001</v>
      </c>
      <c r="J111" s="2" t="str">
        <f t="shared" si="4"/>
        <v>March</v>
      </c>
      <c r="K111" s="9">
        <f t="shared" si="5"/>
        <v>0.80529898647622866</v>
      </c>
    </row>
    <row r="112" spans="1:11" x14ac:dyDescent="0.35">
      <c r="A112" s="2" t="s">
        <v>1046</v>
      </c>
      <c r="B112" s="4" t="s">
        <v>1047</v>
      </c>
      <c r="C112" s="2" t="s">
        <v>31</v>
      </c>
      <c r="D112" s="2" t="s">
        <v>20</v>
      </c>
      <c r="E112" s="2" t="s">
        <v>17</v>
      </c>
      <c r="F112" s="2">
        <v>8138.26</v>
      </c>
      <c r="G112" s="2">
        <v>422.57</v>
      </c>
      <c r="H112" s="2">
        <v>20</v>
      </c>
      <c r="I112" s="2">
        <f t="shared" si="3"/>
        <v>7715.6900000000005</v>
      </c>
      <c r="J112" s="2" t="str">
        <f t="shared" si="4"/>
        <v>October</v>
      </c>
      <c r="K112" s="9">
        <f t="shared" si="5"/>
        <v>0.9480761243803959</v>
      </c>
    </row>
    <row r="113" spans="1:11" x14ac:dyDescent="0.35">
      <c r="A113" s="2" t="s">
        <v>1058</v>
      </c>
      <c r="B113" s="4" t="s">
        <v>213</v>
      </c>
      <c r="C113" s="2" t="s">
        <v>15</v>
      </c>
      <c r="D113" s="2" t="s">
        <v>20</v>
      </c>
      <c r="E113" s="2" t="s">
        <v>12</v>
      </c>
      <c r="F113" s="2">
        <v>31179.69</v>
      </c>
      <c r="G113" s="2">
        <v>2266.4899999999998</v>
      </c>
      <c r="H113" s="2">
        <v>2</v>
      </c>
      <c r="I113" s="2">
        <f t="shared" si="3"/>
        <v>28913.199999999997</v>
      </c>
      <c r="J113" s="2" t="str">
        <f t="shared" si="4"/>
        <v>November</v>
      </c>
      <c r="K113" s="9">
        <f t="shared" si="5"/>
        <v>0.9273087705490336</v>
      </c>
    </row>
    <row r="114" spans="1:11" x14ac:dyDescent="0.35">
      <c r="A114" s="2" t="s">
        <v>1073</v>
      </c>
      <c r="B114" s="4" t="s">
        <v>622</v>
      </c>
      <c r="C114" s="2" t="s">
        <v>10</v>
      </c>
      <c r="D114" s="2" t="s">
        <v>20</v>
      </c>
      <c r="E114" s="2" t="s">
        <v>17</v>
      </c>
      <c r="F114" s="2">
        <v>20764.45</v>
      </c>
      <c r="G114" s="2">
        <v>3644.35</v>
      </c>
      <c r="H114" s="2">
        <v>20</v>
      </c>
      <c r="I114" s="2">
        <f t="shared" si="3"/>
        <v>17120.100000000002</v>
      </c>
      <c r="J114" s="2" t="str">
        <f t="shared" si="4"/>
        <v>January</v>
      </c>
      <c r="K114" s="9">
        <f t="shared" si="5"/>
        <v>0.82449089670085174</v>
      </c>
    </row>
    <row r="115" spans="1:11" x14ac:dyDescent="0.35">
      <c r="A115" s="2" t="s">
        <v>1077</v>
      </c>
      <c r="B115" s="4" t="s">
        <v>162</v>
      </c>
      <c r="C115" s="2" t="s">
        <v>31</v>
      </c>
      <c r="D115" s="2" t="s">
        <v>20</v>
      </c>
      <c r="E115" s="2" t="s">
        <v>21</v>
      </c>
      <c r="F115" s="2">
        <v>11428.24</v>
      </c>
      <c r="G115" s="2">
        <v>2035.37</v>
      </c>
      <c r="H115" s="2">
        <v>18</v>
      </c>
      <c r="I115" s="2">
        <f t="shared" si="3"/>
        <v>9392.869999999999</v>
      </c>
      <c r="J115" s="2" t="str">
        <f t="shared" si="4"/>
        <v>July</v>
      </c>
      <c r="K115" s="9">
        <f t="shared" si="5"/>
        <v>0.82189996009884281</v>
      </c>
    </row>
    <row r="116" spans="1:11" x14ac:dyDescent="0.35">
      <c r="A116" s="2" t="s">
        <v>1079</v>
      </c>
      <c r="B116" s="4" t="s">
        <v>260</v>
      </c>
      <c r="C116" s="2" t="s">
        <v>31</v>
      </c>
      <c r="D116" s="2" t="s">
        <v>20</v>
      </c>
      <c r="E116" s="2" t="s">
        <v>12</v>
      </c>
      <c r="F116" s="2">
        <v>36928.82</v>
      </c>
      <c r="G116" s="2">
        <v>9936.61</v>
      </c>
      <c r="H116" s="2">
        <v>14</v>
      </c>
      <c r="I116" s="2">
        <f t="shared" si="3"/>
        <v>26992.21</v>
      </c>
      <c r="J116" s="2" t="str">
        <f t="shared" si="4"/>
        <v>December</v>
      </c>
      <c r="K116" s="9">
        <f t="shared" si="5"/>
        <v>0.73092533148906458</v>
      </c>
    </row>
    <row r="117" spans="1:11" x14ac:dyDescent="0.35">
      <c r="A117" s="2" t="s">
        <v>1086</v>
      </c>
      <c r="B117" s="4" t="s">
        <v>40</v>
      </c>
      <c r="C117" s="2" t="s">
        <v>31</v>
      </c>
      <c r="D117" s="2" t="s">
        <v>20</v>
      </c>
      <c r="E117" s="2" t="s">
        <v>12</v>
      </c>
      <c r="F117" s="2">
        <v>13416.83</v>
      </c>
      <c r="G117" s="2">
        <v>2740.77</v>
      </c>
      <c r="H117" s="2">
        <v>19</v>
      </c>
      <c r="I117" s="2">
        <f t="shared" si="3"/>
        <v>10676.06</v>
      </c>
      <c r="J117" s="2" t="str">
        <f t="shared" si="4"/>
        <v>January</v>
      </c>
      <c r="K117" s="9">
        <f t="shared" si="5"/>
        <v>0.79572149307995999</v>
      </c>
    </row>
    <row r="118" spans="1:11" x14ac:dyDescent="0.35">
      <c r="A118" s="2" t="s">
        <v>1087</v>
      </c>
      <c r="B118" s="4" t="s">
        <v>350</v>
      </c>
      <c r="C118" s="2" t="s">
        <v>10</v>
      </c>
      <c r="D118" s="2" t="s">
        <v>20</v>
      </c>
      <c r="E118" s="2" t="s">
        <v>21</v>
      </c>
      <c r="F118" s="2">
        <v>6288.6</v>
      </c>
      <c r="G118" s="2">
        <v>1247.5</v>
      </c>
      <c r="H118" s="2">
        <v>8</v>
      </c>
      <c r="I118" s="2">
        <f t="shared" si="3"/>
        <v>5041.1000000000004</v>
      </c>
      <c r="J118" s="2" t="str">
        <f t="shared" si="4"/>
        <v>March</v>
      </c>
      <c r="K118" s="9">
        <f t="shared" si="5"/>
        <v>0.80162516299335307</v>
      </c>
    </row>
    <row r="119" spans="1:11" x14ac:dyDescent="0.35">
      <c r="A119" s="2" t="s">
        <v>1094</v>
      </c>
      <c r="B119" s="4" t="s">
        <v>734</v>
      </c>
      <c r="C119" s="2" t="s">
        <v>15</v>
      </c>
      <c r="D119" s="2" t="s">
        <v>20</v>
      </c>
      <c r="E119" s="2" t="s">
        <v>17</v>
      </c>
      <c r="F119" s="2">
        <v>3790.17</v>
      </c>
      <c r="G119" s="2">
        <v>412.86</v>
      </c>
      <c r="H119" s="2">
        <v>15</v>
      </c>
      <c r="I119" s="2">
        <f t="shared" si="3"/>
        <v>3377.31</v>
      </c>
      <c r="J119" s="2" t="str">
        <f t="shared" si="4"/>
        <v>February</v>
      </c>
      <c r="K119" s="9">
        <f t="shared" si="5"/>
        <v>0.89107084906481759</v>
      </c>
    </row>
    <row r="120" spans="1:11" x14ac:dyDescent="0.35">
      <c r="A120" s="2" t="s">
        <v>1097</v>
      </c>
      <c r="B120" s="4" t="s">
        <v>368</v>
      </c>
      <c r="C120" s="2" t="s">
        <v>15</v>
      </c>
      <c r="D120" s="2" t="s">
        <v>20</v>
      </c>
      <c r="E120" s="2" t="s">
        <v>17</v>
      </c>
      <c r="F120" s="2">
        <v>33573.629999999997</v>
      </c>
      <c r="G120" s="2">
        <v>3323.46</v>
      </c>
      <c r="H120" s="2">
        <v>19</v>
      </c>
      <c r="I120" s="2">
        <f t="shared" si="3"/>
        <v>30250.17</v>
      </c>
      <c r="J120" s="2" t="str">
        <f t="shared" si="4"/>
        <v>June</v>
      </c>
      <c r="K120" s="9">
        <f t="shared" si="5"/>
        <v>0.90100981037796635</v>
      </c>
    </row>
    <row r="121" spans="1:11" x14ac:dyDescent="0.35">
      <c r="A121" s="2" t="s">
        <v>1105</v>
      </c>
      <c r="B121" s="4" t="s">
        <v>931</v>
      </c>
      <c r="C121" s="2" t="s">
        <v>10</v>
      </c>
      <c r="D121" s="2" t="s">
        <v>20</v>
      </c>
      <c r="E121" s="2" t="s">
        <v>21</v>
      </c>
      <c r="F121" s="2">
        <v>39774.74</v>
      </c>
      <c r="G121" s="2">
        <v>5745.39</v>
      </c>
      <c r="H121" s="2">
        <v>8</v>
      </c>
      <c r="I121" s="2">
        <f t="shared" si="3"/>
        <v>34029.35</v>
      </c>
      <c r="J121" s="2" t="str">
        <f t="shared" si="4"/>
        <v>April</v>
      </c>
      <c r="K121" s="9">
        <f t="shared" si="5"/>
        <v>0.85555178990484915</v>
      </c>
    </row>
    <row r="122" spans="1:11" x14ac:dyDescent="0.35">
      <c r="A122" s="2" t="s">
        <v>1109</v>
      </c>
      <c r="B122" s="4" t="s">
        <v>99</v>
      </c>
      <c r="C122" s="2" t="s">
        <v>10</v>
      </c>
      <c r="D122" s="2" t="s">
        <v>20</v>
      </c>
      <c r="E122" s="2" t="s">
        <v>17</v>
      </c>
      <c r="F122" s="2">
        <v>34018</v>
      </c>
      <c r="G122" s="2">
        <v>7919.9</v>
      </c>
      <c r="H122" s="2">
        <v>9</v>
      </c>
      <c r="I122" s="2">
        <f t="shared" si="3"/>
        <v>26098.1</v>
      </c>
      <c r="J122" s="2" t="str">
        <f t="shared" si="4"/>
        <v>July</v>
      </c>
      <c r="K122" s="9">
        <f t="shared" si="5"/>
        <v>0.76718501969545527</v>
      </c>
    </row>
    <row r="123" spans="1:11" x14ac:dyDescent="0.35">
      <c r="A123" s="2" t="s">
        <v>1110</v>
      </c>
      <c r="B123" s="4" t="s">
        <v>527</v>
      </c>
      <c r="C123" s="2" t="s">
        <v>31</v>
      </c>
      <c r="D123" s="2" t="s">
        <v>20</v>
      </c>
      <c r="E123" s="2" t="s">
        <v>17</v>
      </c>
      <c r="F123" s="2">
        <v>40371.18</v>
      </c>
      <c r="G123" s="2">
        <v>9792.32</v>
      </c>
      <c r="H123" s="2">
        <v>17</v>
      </c>
      <c r="I123" s="2">
        <f t="shared" si="3"/>
        <v>30578.86</v>
      </c>
      <c r="J123" s="2" t="str">
        <f t="shared" si="4"/>
        <v>March</v>
      </c>
      <c r="K123" s="9">
        <f t="shared" si="5"/>
        <v>0.75744280944971143</v>
      </c>
    </row>
    <row r="124" spans="1:11" x14ac:dyDescent="0.35">
      <c r="A124" s="2" t="s">
        <v>1130</v>
      </c>
      <c r="B124" s="4" t="s">
        <v>1069</v>
      </c>
      <c r="C124" s="2" t="s">
        <v>27</v>
      </c>
      <c r="D124" s="2" t="s">
        <v>20</v>
      </c>
      <c r="E124" s="2" t="s">
        <v>12</v>
      </c>
      <c r="F124" s="2">
        <v>13578.18</v>
      </c>
      <c r="G124" s="2">
        <v>1808.02</v>
      </c>
      <c r="H124" s="2">
        <v>17</v>
      </c>
      <c r="I124" s="2">
        <f t="shared" si="3"/>
        <v>11770.16</v>
      </c>
      <c r="J124" s="2" t="str">
        <f t="shared" si="4"/>
        <v>July</v>
      </c>
      <c r="K124" s="9">
        <f t="shared" si="5"/>
        <v>0.86684371543167049</v>
      </c>
    </row>
    <row r="125" spans="1:11" x14ac:dyDescent="0.35">
      <c r="A125" s="2" t="s">
        <v>1134</v>
      </c>
      <c r="B125" s="4" t="s">
        <v>1135</v>
      </c>
      <c r="C125" s="2" t="s">
        <v>10</v>
      </c>
      <c r="D125" s="2" t="s">
        <v>20</v>
      </c>
      <c r="E125" s="2" t="s">
        <v>21</v>
      </c>
      <c r="F125" s="2">
        <v>13740.97</v>
      </c>
      <c r="G125" s="2">
        <v>3514.29</v>
      </c>
      <c r="H125" s="2">
        <v>19</v>
      </c>
      <c r="I125" s="2">
        <f t="shared" si="3"/>
        <v>10226.68</v>
      </c>
      <c r="J125" s="2" t="str">
        <f t="shared" si="4"/>
        <v>January</v>
      </c>
      <c r="K125" s="9">
        <f t="shared" si="5"/>
        <v>0.74424731296262203</v>
      </c>
    </row>
    <row r="126" spans="1:11" x14ac:dyDescent="0.35">
      <c r="A126" s="2" t="s">
        <v>1139</v>
      </c>
      <c r="B126" s="4" t="s">
        <v>1140</v>
      </c>
      <c r="C126" s="2" t="s">
        <v>10</v>
      </c>
      <c r="D126" s="2" t="s">
        <v>20</v>
      </c>
      <c r="E126" s="2" t="s">
        <v>17</v>
      </c>
      <c r="F126" s="2">
        <v>35745.07</v>
      </c>
      <c r="G126" s="2">
        <v>3986.09</v>
      </c>
      <c r="H126" s="2">
        <v>1</v>
      </c>
      <c r="I126" s="2">
        <f t="shared" si="3"/>
        <v>31758.98</v>
      </c>
      <c r="J126" s="2" t="str">
        <f t="shared" si="4"/>
        <v>November</v>
      </c>
      <c r="K126" s="9">
        <f t="shared" si="5"/>
        <v>0.88848560095140394</v>
      </c>
    </row>
    <row r="127" spans="1:11" x14ac:dyDescent="0.35">
      <c r="A127" s="2" t="s">
        <v>1154</v>
      </c>
      <c r="B127" s="4" t="s">
        <v>658</v>
      </c>
      <c r="C127" s="2" t="s">
        <v>27</v>
      </c>
      <c r="D127" s="2" t="s">
        <v>20</v>
      </c>
      <c r="E127" s="2" t="s">
        <v>17</v>
      </c>
      <c r="F127" s="2">
        <v>47180.88</v>
      </c>
      <c r="G127" s="2">
        <v>4721.79</v>
      </c>
      <c r="H127" s="2">
        <v>6</v>
      </c>
      <c r="I127" s="2">
        <f t="shared" si="3"/>
        <v>42459.09</v>
      </c>
      <c r="J127" s="2" t="str">
        <f t="shared" si="4"/>
        <v>May</v>
      </c>
      <c r="K127" s="9">
        <f t="shared" si="5"/>
        <v>0.8999215360120455</v>
      </c>
    </row>
    <row r="128" spans="1:11" x14ac:dyDescent="0.35">
      <c r="A128" s="2" t="s">
        <v>1159</v>
      </c>
      <c r="B128" s="4" t="s">
        <v>311</v>
      </c>
      <c r="C128" s="2" t="s">
        <v>10</v>
      </c>
      <c r="D128" s="2" t="s">
        <v>20</v>
      </c>
      <c r="E128" s="2" t="s">
        <v>21</v>
      </c>
      <c r="F128" s="2">
        <v>10623.83</v>
      </c>
      <c r="G128" s="2">
        <v>829.35</v>
      </c>
      <c r="H128" s="2">
        <v>15</v>
      </c>
      <c r="I128" s="2">
        <f t="shared" si="3"/>
        <v>9794.48</v>
      </c>
      <c r="J128" s="2" t="str">
        <f t="shared" si="4"/>
        <v>June</v>
      </c>
      <c r="K128" s="9">
        <f t="shared" si="5"/>
        <v>0.92193493307027685</v>
      </c>
    </row>
    <row r="129" spans="1:11" x14ac:dyDescent="0.35">
      <c r="A129" s="2" t="s">
        <v>1160</v>
      </c>
      <c r="B129" s="4" t="s">
        <v>937</v>
      </c>
      <c r="C129" s="2" t="s">
        <v>27</v>
      </c>
      <c r="D129" s="2" t="s">
        <v>20</v>
      </c>
      <c r="E129" s="2" t="s">
        <v>17</v>
      </c>
      <c r="F129" s="2">
        <v>5963.51</v>
      </c>
      <c r="G129" s="2">
        <v>1499.63</v>
      </c>
      <c r="H129" s="2">
        <v>11</v>
      </c>
      <c r="I129" s="2">
        <f t="shared" si="3"/>
        <v>4463.88</v>
      </c>
      <c r="J129" s="2" t="str">
        <f t="shared" si="4"/>
        <v>February</v>
      </c>
      <c r="K129" s="9">
        <f t="shared" si="5"/>
        <v>0.74853232408430603</v>
      </c>
    </row>
    <row r="130" spans="1:11" x14ac:dyDescent="0.35">
      <c r="A130" s="2" t="s">
        <v>1180</v>
      </c>
      <c r="B130" s="4" t="s">
        <v>241</v>
      </c>
      <c r="C130" s="2" t="s">
        <v>27</v>
      </c>
      <c r="D130" s="2" t="s">
        <v>20</v>
      </c>
      <c r="E130" s="2" t="s">
        <v>12</v>
      </c>
      <c r="F130" s="2">
        <v>5686.64</v>
      </c>
      <c r="G130" s="2">
        <v>643.63</v>
      </c>
      <c r="H130" s="2">
        <v>12</v>
      </c>
      <c r="I130" s="2">
        <f t="shared" ref="I130:I193" si="6">(F130-G130)</f>
        <v>5043.01</v>
      </c>
      <c r="J130" s="2" t="str">
        <f t="shared" ref="J130:J193" si="7">TEXT(B130,"mmmm")</f>
        <v>December</v>
      </c>
      <c r="K130" s="9">
        <f t="shared" ref="K130:K193" si="8">(F130-G130)/F130</f>
        <v>0.88681717147559891</v>
      </c>
    </row>
    <row r="131" spans="1:11" x14ac:dyDescent="0.35">
      <c r="A131" s="2" t="s">
        <v>1185</v>
      </c>
      <c r="B131" s="4" t="s">
        <v>344</v>
      </c>
      <c r="C131" s="2" t="s">
        <v>27</v>
      </c>
      <c r="D131" s="2" t="s">
        <v>20</v>
      </c>
      <c r="E131" s="2" t="s">
        <v>17</v>
      </c>
      <c r="F131" s="2">
        <v>41000.949999999997</v>
      </c>
      <c r="G131" s="2">
        <v>11398.22</v>
      </c>
      <c r="H131" s="2">
        <v>13</v>
      </c>
      <c r="I131" s="2">
        <f t="shared" si="6"/>
        <v>29602.729999999996</v>
      </c>
      <c r="J131" s="2" t="str">
        <f t="shared" si="7"/>
        <v>June</v>
      </c>
      <c r="K131" s="9">
        <f t="shared" si="8"/>
        <v>0.72200107558483395</v>
      </c>
    </row>
    <row r="132" spans="1:11" x14ac:dyDescent="0.35">
      <c r="A132" s="2" t="s">
        <v>1192</v>
      </c>
      <c r="B132" s="4" t="s">
        <v>362</v>
      </c>
      <c r="C132" s="2" t="s">
        <v>27</v>
      </c>
      <c r="D132" s="2" t="s">
        <v>20</v>
      </c>
      <c r="E132" s="2" t="s">
        <v>21</v>
      </c>
      <c r="F132" s="2">
        <v>25447.25</v>
      </c>
      <c r="G132" s="2">
        <v>2525.77</v>
      </c>
      <c r="H132" s="2">
        <v>6</v>
      </c>
      <c r="I132" s="2">
        <f t="shared" si="6"/>
        <v>22921.48</v>
      </c>
      <c r="J132" s="2" t="str">
        <f t="shared" si="7"/>
        <v>December</v>
      </c>
      <c r="K132" s="9">
        <f t="shared" si="8"/>
        <v>0.90074487420055216</v>
      </c>
    </row>
    <row r="133" spans="1:11" x14ac:dyDescent="0.35">
      <c r="A133" s="2" t="s">
        <v>1220</v>
      </c>
      <c r="B133" s="4" t="s">
        <v>109</v>
      </c>
      <c r="C133" s="2" t="s">
        <v>15</v>
      </c>
      <c r="D133" s="2" t="s">
        <v>20</v>
      </c>
      <c r="E133" s="2" t="s">
        <v>17</v>
      </c>
      <c r="F133" s="2">
        <v>32337.31</v>
      </c>
      <c r="G133" s="2">
        <v>4983.67</v>
      </c>
      <c r="H133" s="2">
        <v>11</v>
      </c>
      <c r="I133" s="2">
        <f t="shared" si="6"/>
        <v>27353.64</v>
      </c>
      <c r="J133" s="2" t="str">
        <f t="shared" si="7"/>
        <v>January</v>
      </c>
      <c r="K133" s="9">
        <f t="shared" si="8"/>
        <v>0.84588483086564714</v>
      </c>
    </row>
    <row r="134" spans="1:11" x14ac:dyDescent="0.35">
      <c r="A134" s="2" t="s">
        <v>1223</v>
      </c>
      <c r="B134" s="4" t="s">
        <v>764</v>
      </c>
      <c r="C134" s="2" t="s">
        <v>27</v>
      </c>
      <c r="D134" s="2" t="s">
        <v>20</v>
      </c>
      <c r="E134" s="2" t="s">
        <v>17</v>
      </c>
      <c r="F134" s="2">
        <v>20401.36</v>
      </c>
      <c r="G134" s="2">
        <v>4869.74</v>
      </c>
      <c r="H134" s="2">
        <v>6</v>
      </c>
      <c r="I134" s="2">
        <f t="shared" si="6"/>
        <v>15531.62</v>
      </c>
      <c r="J134" s="2" t="str">
        <f t="shared" si="7"/>
        <v>May</v>
      </c>
      <c r="K134" s="9">
        <f t="shared" si="8"/>
        <v>0.76130316802409248</v>
      </c>
    </row>
    <row r="135" spans="1:11" x14ac:dyDescent="0.35">
      <c r="A135" s="2" t="s">
        <v>1224</v>
      </c>
      <c r="B135" s="4" t="s">
        <v>176</v>
      </c>
      <c r="C135" s="2" t="s">
        <v>15</v>
      </c>
      <c r="D135" s="2" t="s">
        <v>20</v>
      </c>
      <c r="E135" s="2" t="s">
        <v>21</v>
      </c>
      <c r="F135" s="2">
        <v>6072.1</v>
      </c>
      <c r="G135" s="2">
        <v>1461.96</v>
      </c>
      <c r="H135" s="2">
        <v>18</v>
      </c>
      <c r="I135" s="2">
        <f t="shared" si="6"/>
        <v>4610.1400000000003</v>
      </c>
      <c r="J135" s="2" t="str">
        <f t="shared" si="7"/>
        <v>November</v>
      </c>
      <c r="K135" s="9">
        <f t="shared" si="8"/>
        <v>0.75923321420925216</v>
      </c>
    </row>
    <row r="136" spans="1:11" x14ac:dyDescent="0.35">
      <c r="A136" s="2" t="s">
        <v>1226</v>
      </c>
      <c r="B136" s="4" t="s">
        <v>503</v>
      </c>
      <c r="C136" s="2" t="s">
        <v>31</v>
      </c>
      <c r="D136" s="2" t="s">
        <v>20</v>
      </c>
      <c r="E136" s="2" t="s">
        <v>21</v>
      </c>
      <c r="F136" s="2">
        <v>25067</v>
      </c>
      <c r="G136" s="2">
        <v>1864.92</v>
      </c>
      <c r="H136" s="2">
        <v>18</v>
      </c>
      <c r="I136" s="2">
        <f t="shared" si="6"/>
        <v>23202.080000000002</v>
      </c>
      <c r="J136" s="2" t="str">
        <f t="shared" si="7"/>
        <v>July</v>
      </c>
      <c r="K136" s="9">
        <f t="shared" si="8"/>
        <v>0.9256025850720071</v>
      </c>
    </row>
    <row r="137" spans="1:11" x14ac:dyDescent="0.35">
      <c r="A137" s="2" t="s">
        <v>1227</v>
      </c>
      <c r="B137" s="4" t="s">
        <v>204</v>
      </c>
      <c r="C137" s="2" t="s">
        <v>15</v>
      </c>
      <c r="D137" s="2" t="s">
        <v>20</v>
      </c>
      <c r="E137" s="2" t="s">
        <v>12</v>
      </c>
      <c r="F137" s="2">
        <v>26722.81</v>
      </c>
      <c r="G137" s="2">
        <v>1764.33</v>
      </c>
      <c r="H137" s="2">
        <v>14</v>
      </c>
      <c r="I137" s="2">
        <f t="shared" si="6"/>
        <v>24958.480000000003</v>
      </c>
      <c r="J137" s="2" t="str">
        <f t="shared" si="7"/>
        <v>December</v>
      </c>
      <c r="K137" s="9">
        <f t="shared" si="8"/>
        <v>0.93397662895481437</v>
      </c>
    </row>
    <row r="138" spans="1:11" x14ac:dyDescent="0.35">
      <c r="A138" s="2" t="s">
        <v>1229</v>
      </c>
      <c r="B138" s="4" t="s">
        <v>62</v>
      </c>
      <c r="C138" s="2" t="s">
        <v>27</v>
      </c>
      <c r="D138" s="2" t="s">
        <v>20</v>
      </c>
      <c r="E138" s="2" t="s">
        <v>12</v>
      </c>
      <c r="F138" s="2">
        <v>17086.509999999998</v>
      </c>
      <c r="G138" s="2">
        <v>1759.28</v>
      </c>
      <c r="H138" s="2">
        <v>6</v>
      </c>
      <c r="I138" s="2">
        <f t="shared" si="6"/>
        <v>15327.229999999998</v>
      </c>
      <c r="J138" s="2" t="str">
        <f t="shared" si="7"/>
        <v>January</v>
      </c>
      <c r="K138" s="9">
        <f t="shared" si="8"/>
        <v>0.8970369022111595</v>
      </c>
    </row>
    <row r="139" spans="1:11" x14ac:dyDescent="0.35">
      <c r="A139" s="2" t="s">
        <v>1230</v>
      </c>
      <c r="B139" s="4" t="s">
        <v>174</v>
      </c>
      <c r="C139" s="2" t="s">
        <v>27</v>
      </c>
      <c r="D139" s="2" t="s">
        <v>20</v>
      </c>
      <c r="E139" s="2" t="s">
        <v>21</v>
      </c>
      <c r="F139" s="2">
        <v>28338.29</v>
      </c>
      <c r="G139" s="2">
        <v>6574.08</v>
      </c>
      <c r="H139" s="2">
        <v>9</v>
      </c>
      <c r="I139" s="2">
        <f t="shared" si="6"/>
        <v>21764.21</v>
      </c>
      <c r="J139" s="2" t="str">
        <f t="shared" si="7"/>
        <v>May</v>
      </c>
      <c r="K139" s="9">
        <f t="shared" si="8"/>
        <v>0.76801423092219034</v>
      </c>
    </row>
    <row r="140" spans="1:11" x14ac:dyDescent="0.35">
      <c r="A140" s="2" t="s">
        <v>1249</v>
      </c>
      <c r="B140" s="4" t="s">
        <v>669</v>
      </c>
      <c r="C140" s="2" t="s">
        <v>31</v>
      </c>
      <c r="D140" s="2" t="s">
        <v>20</v>
      </c>
      <c r="E140" s="2" t="s">
        <v>17</v>
      </c>
      <c r="F140" s="2">
        <v>36593.19</v>
      </c>
      <c r="G140" s="2">
        <v>9189.61</v>
      </c>
      <c r="H140" s="2">
        <v>7</v>
      </c>
      <c r="I140" s="2">
        <f t="shared" si="6"/>
        <v>27403.58</v>
      </c>
      <c r="J140" s="2" t="str">
        <f t="shared" si="7"/>
        <v>May</v>
      </c>
      <c r="K140" s="9">
        <f t="shared" si="8"/>
        <v>0.74887103310752634</v>
      </c>
    </row>
    <row r="141" spans="1:11" x14ac:dyDescent="0.35">
      <c r="A141" s="2" t="s">
        <v>1262</v>
      </c>
      <c r="B141" s="4" t="s">
        <v>1263</v>
      </c>
      <c r="C141" s="2" t="s">
        <v>10</v>
      </c>
      <c r="D141" s="2" t="s">
        <v>20</v>
      </c>
      <c r="E141" s="2" t="s">
        <v>17</v>
      </c>
      <c r="F141" s="2">
        <v>29062.65</v>
      </c>
      <c r="G141" s="2">
        <v>3257.96</v>
      </c>
      <c r="H141" s="2">
        <v>13</v>
      </c>
      <c r="I141" s="2">
        <f t="shared" si="6"/>
        <v>25804.690000000002</v>
      </c>
      <c r="J141" s="2" t="str">
        <f t="shared" si="7"/>
        <v>April</v>
      </c>
      <c r="K141" s="9">
        <f t="shared" si="8"/>
        <v>0.88789872912483891</v>
      </c>
    </row>
    <row r="142" spans="1:11" x14ac:dyDescent="0.35">
      <c r="A142" s="2" t="s">
        <v>1269</v>
      </c>
      <c r="B142" s="4" t="s">
        <v>253</v>
      </c>
      <c r="C142" s="2" t="s">
        <v>15</v>
      </c>
      <c r="D142" s="2" t="s">
        <v>20</v>
      </c>
      <c r="E142" s="2" t="s">
        <v>21</v>
      </c>
      <c r="F142" s="2">
        <v>39221.49</v>
      </c>
      <c r="G142" s="2">
        <v>8798.25</v>
      </c>
      <c r="H142" s="2">
        <v>14</v>
      </c>
      <c r="I142" s="2">
        <f t="shared" si="6"/>
        <v>30423.239999999998</v>
      </c>
      <c r="J142" s="2" t="str">
        <f t="shared" si="7"/>
        <v>June</v>
      </c>
      <c r="K142" s="9">
        <f t="shared" si="8"/>
        <v>0.77567782356050219</v>
      </c>
    </row>
    <row r="143" spans="1:11" x14ac:dyDescent="0.35">
      <c r="A143" s="2" t="s">
        <v>1272</v>
      </c>
      <c r="B143" s="4" t="s">
        <v>541</v>
      </c>
      <c r="C143" s="2" t="s">
        <v>27</v>
      </c>
      <c r="D143" s="2" t="s">
        <v>20</v>
      </c>
      <c r="E143" s="2" t="s">
        <v>17</v>
      </c>
      <c r="F143" s="2">
        <v>9536.2000000000007</v>
      </c>
      <c r="G143" s="2">
        <v>1275.32</v>
      </c>
      <c r="H143" s="2">
        <v>14</v>
      </c>
      <c r="I143" s="2">
        <f t="shared" si="6"/>
        <v>8260.880000000001</v>
      </c>
      <c r="J143" s="2" t="str">
        <f t="shared" si="7"/>
        <v>January</v>
      </c>
      <c r="K143" s="9">
        <f t="shared" si="8"/>
        <v>0.86626538872926329</v>
      </c>
    </row>
    <row r="144" spans="1:11" x14ac:dyDescent="0.35">
      <c r="A144" s="2" t="s">
        <v>1277</v>
      </c>
      <c r="B144" s="4" t="s">
        <v>921</v>
      </c>
      <c r="C144" s="2" t="s">
        <v>31</v>
      </c>
      <c r="D144" s="2" t="s">
        <v>20</v>
      </c>
      <c r="E144" s="2" t="s">
        <v>12</v>
      </c>
      <c r="F144" s="2">
        <v>27236.25</v>
      </c>
      <c r="G144" s="2">
        <v>2742.06</v>
      </c>
      <c r="H144" s="2">
        <v>4</v>
      </c>
      <c r="I144" s="2">
        <f t="shared" si="6"/>
        <v>24494.19</v>
      </c>
      <c r="J144" s="2" t="str">
        <f t="shared" si="7"/>
        <v>March</v>
      </c>
      <c r="K144" s="9">
        <f t="shared" si="8"/>
        <v>0.89932314470604424</v>
      </c>
    </row>
    <row r="145" spans="1:11" x14ac:dyDescent="0.35">
      <c r="A145" s="2" t="s">
        <v>1289</v>
      </c>
      <c r="B145" s="4" t="s">
        <v>134</v>
      </c>
      <c r="C145" s="2" t="s">
        <v>27</v>
      </c>
      <c r="D145" s="2" t="s">
        <v>20</v>
      </c>
      <c r="E145" s="2" t="s">
        <v>17</v>
      </c>
      <c r="F145" s="2">
        <v>24751.49</v>
      </c>
      <c r="G145" s="2">
        <v>7043.87</v>
      </c>
      <c r="H145" s="2">
        <v>1</v>
      </c>
      <c r="I145" s="2">
        <f t="shared" si="6"/>
        <v>17707.620000000003</v>
      </c>
      <c r="J145" s="2" t="str">
        <f t="shared" si="7"/>
        <v>November</v>
      </c>
      <c r="K145" s="9">
        <f t="shared" si="8"/>
        <v>0.7154163244313777</v>
      </c>
    </row>
    <row r="146" spans="1:11" x14ac:dyDescent="0.35">
      <c r="A146" s="2" t="s">
        <v>1290</v>
      </c>
      <c r="B146" s="4" t="s">
        <v>680</v>
      </c>
      <c r="C146" s="2" t="s">
        <v>27</v>
      </c>
      <c r="D146" s="2" t="s">
        <v>20</v>
      </c>
      <c r="E146" s="2" t="s">
        <v>17</v>
      </c>
      <c r="F146" s="2">
        <v>11215.25</v>
      </c>
      <c r="G146" s="2">
        <v>1345.69</v>
      </c>
      <c r="H146" s="2">
        <v>17</v>
      </c>
      <c r="I146" s="2">
        <f t="shared" si="6"/>
        <v>9869.56</v>
      </c>
      <c r="J146" s="2" t="str">
        <f t="shared" si="7"/>
        <v>May</v>
      </c>
      <c r="K146" s="9">
        <f t="shared" si="8"/>
        <v>0.88001248300305379</v>
      </c>
    </row>
    <row r="147" spans="1:11" x14ac:dyDescent="0.35">
      <c r="A147" s="2" t="s">
        <v>1295</v>
      </c>
      <c r="B147" s="4" t="s">
        <v>539</v>
      </c>
      <c r="C147" s="2" t="s">
        <v>27</v>
      </c>
      <c r="D147" s="2" t="s">
        <v>20</v>
      </c>
      <c r="E147" s="2" t="s">
        <v>12</v>
      </c>
      <c r="F147" s="2">
        <v>20569.8</v>
      </c>
      <c r="G147" s="2">
        <v>2611.25</v>
      </c>
      <c r="H147" s="2">
        <v>19</v>
      </c>
      <c r="I147" s="2">
        <f t="shared" si="6"/>
        <v>17958.55</v>
      </c>
      <c r="J147" s="2" t="str">
        <f t="shared" si="7"/>
        <v>September</v>
      </c>
      <c r="K147" s="9">
        <f t="shared" si="8"/>
        <v>0.87305418623418796</v>
      </c>
    </row>
    <row r="148" spans="1:11" x14ac:dyDescent="0.35">
      <c r="A148" s="2" t="s">
        <v>1297</v>
      </c>
      <c r="B148" s="4" t="s">
        <v>311</v>
      </c>
      <c r="C148" s="2" t="s">
        <v>10</v>
      </c>
      <c r="D148" s="2" t="s">
        <v>20</v>
      </c>
      <c r="E148" s="2" t="s">
        <v>17</v>
      </c>
      <c r="F148" s="2">
        <v>11877.9</v>
      </c>
      <c r="G148" s="2">
        <v>2354.12</v>
      </c>
      <c r="H148" s="2">
        <v>4</v>
      </c>
      <c r="I148" s="2">
        <f t="shared" si="6"/>
        <v>9523.7799999999988</v>
      </c>
      <c r="J148" s="2" t="str">
        <f t="shared" si="7"/>
        <v>June</v>
      </c>
      <c r="K148" s="9">
        <f t="shared" si="8"/>
        <v>0.80180671667550651</v>
      </c>
    </row>
    <row r="149" spans="1:11" x14ac:dyDescent="0.35">
      <c r="A149" s="2" t="s">
        <v>1302</v>
      </c>
      <c r="B149" s="4" t="s">
        <v>450</v>
      </c>
      <c r="C149" s="2" t="s">
        <v>15</v>
      </c>
      <c r="D149" s="2" t="s">
        <v>20</v>
      </c>
      <c r="E149" s="2" t="s">
        <v>21</v>
      </c>
      <c r="F149" s="2">
        <v>6644.53</v>
      </c>
      <c r="G149" s="2">
        <v>774.78</v>
      </c>
      <c r="H149" s="2">
        <v>5</v>
      </c>
      <c r="I149" s="2">
        <f t="shared" si="6"/>
        <v>5869.75</v>
      </c>
      <c r="J149" s="2" t="str">
        <f t="shared" si="7"/>
        <v>December</v>
      </c>
      <c r="K149" s="9">
        <f t="shared" si="8"/>
        <v>0.88339581580638515</v>
      </c>
    </row>
    <row r="150" spans="1:11" x14ac:dyDescent="0.35">
      <c r="A150" s="2" t="s">
        <v>1306</v>
      </c>
      <c r="B150" s="4" t="s">
        <v>168</v>
      </c>
      <c r="C150" s="2" t="s">
        <v>27</v>
      </c>
      <c r="D150" s="2" t="s">
        <v>20</v>
      </c>
      <c r="E150" s="2" t="s">
        <v>12</v>
      </c>
      <c r="F150" s="2">
        <v>5758.38</v>
      </c>
      <c r="G150" s="2">
        <v>1641.1</v>
      </c>
      <c r="H150" s="2">
        <v>10</v>
      </c>
      <c r="I150" s="2">
        <f t="shared" si="6"/>
        <v>4117.2800000000007</v>
      </c>
      <c r="J150" s="2" t="str">
        <f t="shared" si="7"/>
        <v>August</v>
      </c>
      <c r="K150" s="9">
        <f t="shared" si="8"/>
        <v>0.71500665117619899</v>
      </c>
    </row>
    <row r="151" spans="1:11" x14ac:dyDescent="0.35">
      <c r="A151" s="2" t="s">
        <v>1309</v>
      </c>
      <c r="B151" s="4" t="s">
        <v>265</v>
      </c>
      <c r="C151" s="2" t="s">
        <v>27</v>
      </c>
      <c r="D151" s="2" t="s">
        <v>20</v>
      </c>
      <c r="E151" s="2" t="s">
        <v>12</v>
      </c>
      <c r="F151" s="2">
        <v>30522.240000000002</v>
      </c>
      <c r="G151" s="2">
        <v>5068.6400000000003</v>
      </c>
      <c r="H151" s="2">
        <v>19</v>
      </c>
      <c r="I151" s="2">
        <f t="shared" si="6"/>
        <v>25453.600000000002</v>
      </c>
      <c r="J151" s="2" t="str">
        <f t="shared" si="7"/>
        <v>October</v>
      </c>
      <c r="K151" s="9">
        <f t="shared" si="8"/>
        <v>0.83393617244343798</v>
      </c>
    </row>
    <row r="152" spans="1:11" x14ac:dyDescent="0.35">
      <c r="A152" s="2" t="s">
        <v>1310</v>
      </c>
      <c r="B152" s="4" t="s">
        <v>601</v>
      </c>
      <c r="C152" s="2" t="s">
        <v>27</v>
      </c>
      <c r="D152" s="2" t="s">
        <v>20</v>
      </c>
      <c r="E152" s="2" t="s">
        <v>21</v>
      </c>
      <c r="F152" s="2">
        <v>45531.64</v>
      </c>
      <c r="G152" s="2">
        <v>2633.26</v>
      </c>
      <c r="H152" s="2">
        <v>11</v>
      </c>
      <c r="I152" s="2">
        <f t="shared" si="6"/>
        <v>42898.38</v>
      </c>
      <c r="J152" s="2" t="str">
        <f t="shared" si="7"/>
        <v>June</v>
      </c>
      <c r="K152" s="9">
        <f t="shared" si="8"/>
        <v>0.94216637046238616</v>
      </c>
    </row>
    <row r="153" spans="1:11" x14ac:dyDescent="0.35">
      <c r="A153" s="2" t="s">
        <v>1322</v>
      </c>
      <c r="B153" s="4" t="s">
        <v>315</v>
      </c>
      <c r="C153" s="2" t="s">
        <v>27</v>
      </c>
      <c r="D153" s="2" t="s">
        <v>20</v>
      </c>
      <c r="E153" s="2" t="s">
        <v>17</v>
      </c>
      <c r="F153" s="2">
        <v>30946.67</v>
      </c>
      <c r="G153" s="2">
        <v>3935.11</v>
      </c>
      <c r="H153" s="2">
        <v>5</v>
      </c>
      <c r="I153" s="2">
        <f t="shared" si="6"/>
        <v>27011.559999999998</v>
      </c>
      <c r="J153" s="2" t="str">
        <f t="shared" si="7"/>
        <v>May</v>
      </c>
      <c r="K153" s="9">
        <f t="shared" si="8"/>
        <v>0.87284221533366912</v>
      </c>
    </row>
    <row r="154" spans="1:11" x14ac:dyDescent="0.35">
      <c r="A154" s="2" t="s">
        <v>1323</v>
      </c>
      <c r="B154" s="4" t="s">
        <v>643</v>
      </c>
      <c r="C154" s="2" t="s">
        <v>27</v>
      </c>
      <c r="D154" s="2" t="s">
        <v>20</v>
      </c>
      <c r="E154" s="2" t="s">
        <v>12</v>
      </c>
      <c r="F154" s="2">
        <v>41707.82</v>
      </c>
      <c r="G154" s="2">
        <v>4692.45</v>
      </c>
      <c r="H154" s="2">
        <v>9</v>
      </c>
      <c r="I154" s="2">
        <f t="shared" si="6"/>
        <v>37015.370000000003</v>
      </c>
      <c r="J154" s="2" t="str">
        <f t="shared" si="7"/>
        <v>June</v>
      </c>
      <c r="K154" s="9">
        <f t="shared" si="8"/>
        <v>0.88749232158381819</v>
      </c>
    </row>
    <row r="155" spans="1:11" x14ac:dyDescent="0.35">
      <c r="A155" s="2" t="s">
        <v>1328</v>
      </c>
      <c r="B155" s="4" t="s">
        <v>121</v>
      </c>
      <c r="C155" s="2" t="s">
        <v>10</v>
      </c>
      <c r="D155" s="2" t="s">
        <v>20</v>
      </c>
      <c r="E155" s="2" t="s">
        <v>12</v>
      </c>
      <c r="F155" s="2">
        <v>12111.78</v>
      </c>
      <c r="G155" s="2">
        <v>1644.93</v>
      </c>
      <c r="H155" s="2">
        <v>19</v>
      </c>
      <c r="I155" s="2">
        <f t="shared" si="6"/>
        <v>10466.85</v>
      </c>
      <c r="J155" s="2" t="str">
        <f t="shared" si="7"/>
        <v>May</v>
      </c>
      <c r="K155" s="9">
        <f t="shared" si="8"/>
        <v>0.86418759257516231</v>
      </c>
    </row>
    <row r="156" spans="1:11" x14ac:dyDescent="0.35">
      <c r="A156" s="2" t="s">
        <v>1329</v>
      </c>
      <c r="B156" s="4" t="s">
        <v>199</v>
      </c>
      <c r="C156" s="2" t="s">
        <v>31</v>
      </c>
      <c r="D156" s="2" t="s">
        <v>20</v>
      </c>
      <c r="E156" s="2" t="s">
        <v>12</v>
      </c>
      <c r="F156" s="2">
        <v>40386.79</v>
      </c>
      <c r="G156" s="2">
        <v>11962.8</v>
      </c>
      <c r="H156" s="2">
        <v>7</v>
      </c>
      <c r="I156" s="2">
        <f t="shared" si="6"/>
        <v>28423.99</v>
      </c>
      <c r="J156" s="2" t="str">
        <f t="shared" si="7"/>
        <v>December</v>
      </c>
      <c r="K156" s="9">
        <f t="shared" si="8"/>
        <v>0.70379423568944199</v>
      </c>
    </row>
    <row r="157" spans="1:11" x14ac:dyDescent="0.35">
      <c r="A157" s="2" t="s">
        <v>1332</v>
      </c>
      <c r="B157" s="4" t="s">
        <v>62</v>
      </c>
      <c r="C157" s="2" t="s">
        <v>27</v>
      </c>
      <c r="D157" s="2" t="s">
        <v>20</v>
      </c>
      <c r="E157" s="2" t="s">
        <v>12</v>
      </c>
      <c r="F157" s="2">
        <v>42322.400000000001</v>
      </c>
      <c r="G157" s="2">
        <v>11992.75</v>
      </c>
      <c r="H157" s="2">
        <v>18</v>
      </c>
      <c r="I157" s="2">
        <f t="shared" si="6"/>
        <v>30329.65</v>
      </c>
      <c r="J157" s="2" t="str">
        <f t="shared" si="7"/>
        <v>January</v>
      </c>
      <c r="K157" s="9">
        <f t="shared" si="8"/>
        <v>0.71663350849668261</v>
      </c>
    </row>
    <row r="158" spans="1:11" x14ac:dyDescent="0.35">
      <c r="A158" s="2" t="s">
        <v>1338</v>
      </c>
      <c r="B158" s="4" t="s">
        <v>241</v>
      </c>
      <c r="C158" s="2" t="s">
        <v>15</v>
      </c>
      <c r="D158" s="2" t="s">
        <v>20</v>
      </c>
      <c r="E158" s="2" t="s">
        <v>12</v>
      </c>
      <c r="F158" s="2">
        <v>26503.69</v>
      </c>
      <c r="G158" s="2">
        <v>3325.94</v>
      </c>
      <c r="H158" s="2">
        <v>6</v>
      </c>
      <c r="I158" s="2">
        <f t="shared" si="6"/>
        <v>23177.75</v>
      </c>
      <c r="J158" s="2" t="str">
        <f t="shared" si="7"/>
        <v>December</v>
      </c>
      <c r="K158" s="9">
        <f t="shared" si="8"/>
        <v>0.87451030403690966</v>
      </c>
    </row>
    <row r="159" spans="1:11" x14ac:dyDescent="0.35">
      <c r="A159" s="2" t="s">
        <v>1341</v>
      </c>
      <c r="B159" s="4" t="s">
        <v>1342</v>
      </c>
      <c r="C159" s="2" t="s">
        <v>15</v>
      </c>
      <c r="D159" s="2" t="s">
        <v>20</v>
      </c>
      <c r="E159" s="2" t="s">
        <v>12</v>
      </c>
      <c r="F159" s="2">
        <v>49089.79</v>
      </c>
      <c r="G159" s="2">
        <v>6067.97</v>
      </c>
      <c r="H159" s="2">
        <v>10</v>
      </c>
      <c r="I159" s="2">
        <f t="shared" si="6"/>
        <v>43021.82</v>
      </c>
      <c r="J159" s="2" t="str">
        <f t="shared" si="7"/>
        <v>June</v>
      </c>
      <c r="K159" s="9">
        <f t="shared" si="8"/>
        <v>0.87639038586231477</v>
      </c>
    </row>
    <row r="160" spans="1:11" x14ac:dyDescent="0.35">
      <c r="A160" s="2" t="s">
        <v>1348</v>
      </c>
      <c r="B160" s="4" t="s">
        <v>397</v>
      </c>
      <c r="C160" s="2" t="s">
        <v>31</v>
      </c>
      <c r="D160" s="2" t="s">
        <v>20</v>
      </c>
      <c r="E160" s="2" t="s">
        <v>17</v>
      </c>
      <c r="F160" s="2">
        <v>20428.57</v>
      </c>
      <c r="G160" s="2">
        <v>2606.4299999999998</v>
      </c>
      <c r="H160" s="2">
        <v>5</v>
      </c>
      <c r="I160" s="2">
        <f t="shared" si="6"/>
        <v>17822.14</v>
      </c>
      <c r="J160" s="2" t="str">
        <f t="shared" si="7"/>
        <v>April</v>
      </c>
      <c r="K160" s="9">
        <f t="shared" si="8"/>
        <v>0.87241250856031527</v>
      </c>
    </row>
    <row r="161" spans="1:11" x14ac:dyDescent="0.35">
      <c r="A161" s="2" t="s">
        <v>1351</v>
      </c>
      <c r="B161" s="4" t="s">
        <v>58</v>
      </c>
      <c r="C161" s="2" t="s">
        <v>10</v>
      </c>
      <c r="D161" s="2" t="s">
        <v>20</v>
      </c>
      <c r="E161" s="2" t="s">
        <v>17</v>
      </c>
      <c r="F161" s="2">
        <v>13738.3</v>
      </c>
      <c r="G161" s="2">
        <v>3629.24</v>
      </c>
      <c r="H161" s="2">
        <v>11</v>
      </c>
      <c r="I161" s="2">
        <f t="shared" si="6"/>
        <v>10109.06</v>
      </c>
      <c r="J161" s="2" t="str">
        <f t="shared" si="7"/>
        <v>March</v>
      </c>
      <c r="K161" s="9">
        <f t="shared" si="8"/>
        <v>0.7358304884883865</v>
      </c>
    </row>
    <row r="162" spans="1:11" x14ac:dyDescent="0.35">
      <c r="A162" s="2" t="s">
        <v>29</v>
      </c>
      <c r="B162" s="4" t="s">
        <v>30</v>
      </c>
      <c r="C162" s="2" t="s">
        <v>31</v>
      </c>
      <c r="D162" s="2" t="s">
        <v>32</v>
      </c>
      <c r="E162" s="2" t="s">
        <v>21</v>
      </c>
      <c r="F162" s="2">
        <v>17081.830000000002</v>
      </c>
      <c r="G162" s="2">
        <v>4638.62</v>
      </c>
      <c r="H162" s="2">
        <v>18</v>
      </c>
      <c r="I162" s="2">
        <f t="shared" si="6"/>
        <v>12443.210000000003</v>
      </c>
      <c r="J162" s="2" t="str">
        <f t="shared" si="7"/>
        <v>June</v>
      </c>
      <c r="K162" s="9">
        <f t="shared" si="8"/>
        <v>0.72844712773748488</v>
      </c>
    </row>
    <row r="163" spans="1:11" x14ac:dyDescent="0.35">
      <c r="A163" s="2" t="s">
        <v>33</v>
      </c>
      <c r="B163" s="4" t="s">
        <v>34</v>
      </c>
      <c r="C163" s="2" t="s">
        <v>31</v>
      </c>
      <c r="D163" s="2" t="s">
        <v>32</v>
      </c>
      <c r="E163" s="2" t="s">
        <v>17</v>
      </c>
      <c r="F163" s="2">
        <v>41277.43</v>
      </c>
      <c r="G163" s="2">
        <v>2221.61</v>
      </c>
      <c r="H163" s="2">
        <v>16</v>
      </c>
      <c r="I163" s="2">
        <f t="shared" si="6"/>
        <v>39055.82</v>
      </c>
      <c r="J163" s="2" t="str">
        <f t="shared" si="7"/>
        <v>October</v>
      </c>
      <c r="K163" s="9">
        <f t="shared" si="8"/>
        <v>0.9461785774938023</v>
      </c>
    </row>
    <row r="164" spans="1:11" x14ac:dyDescent="0.35">
      <c r="A164" s="2" t="s">
        <v>47</v>
      </c>
      <c r="B164" s="4" t="s">
        <v>48</v>
      </c>
      <c r="C164" s="2" t="s">
        <v>27</v>
      </c>
      <c r="D164" s="2" t="s">
        <v>32</v>
      </c>
      <c r="E164" s="2" t="s">
        <v>12</v>
      </c>
      <c r="F164" s="2">
        <v>22416.32</v>
      </c>
      <c r="G164" s="2">
        <v>6447.31</v>
      </c>
      <c r="H164" s="2">
        <v>5</v>
      </c>
      <c r="I164" s="2">
        <f t="shared" si="6"/>
        <v>15969.009999999998</v>
      </c>
      <c r="J164" s="2" t="str">
        <f t="shared" si="7"/>
        <v>October</v>
      </c>
      <c r="K164" s="9">
        <f t="shared" si="8"/>
        <v>0.71238321008979166</v>
      </c>
    </row>
    <row r="165" spans="1:11" x14ac:dyDescent="0.35">
      <c r="A165" s="2" t="s">
        <v>65</v>
      </c>
      <c r="B165" s="4" t="s">
        <v>66</v>
      </c>
      <c r="C165" s="2" t="s">
        <v>27</v>
      </c>
      <c r="D165" s="2" t="s">
        <v>32</v>
      </c>
      <c r="E165" s="2" t="s">
        <v>17</v>
      </c>
      <c r="F165" s="2">
        <v>48773.99</v>
      </c>
      <c r="G165" s="2">
        <v>13763.75</v>
      </c>
      <c r="H165" s="2">
        <v>6</v>
      </c>
      <c r="I165" s="2">
        <f t="shared" si="6"/>
        <v>35010.239999999998</v>
      </c>
      <c r="J165" s="2" t="str">
        <f t="shared" si="7"/>
        <v>January</v>
      </c>
      <c r="K165" s="9">
        <f t="shared" si="8"/>
        <v>0.71780553528632784</v>
      </c>
    </row>
    <row r="166" spans="1:11" x14ac:dyDescent="0.35">
      <c r="A166" s="2" t="s">
        <v>76</v>
      </c>
      <c r="B166" s="4" t="s">
        <v>64</v>
      </c>
      <c r="C166" s="2" t="s">
        <v>10</v>
      </c>
      <c r="D166" s="2" t="s">
        <v>32</v>
      </c>
      <c r="E166" s="2" t="s">
        <v>21</v>
      </c>
      <c r="F166" s="2">
        <v>12397.58</v>
      </c>
      <c r="G166" s="2">
        <v>2720.94</v>
      </c>
      <c r="H166" s="2">
        <v>19</v>
      </c>
      <c r="I166" s="2">
        <f t="shared" si="6"/>
        <v>9676.64</v>
      </c>
      <c r="J166" s="2" t="str">
        <f t="shared" si="7"/>
        <v>February</v>
      </c>
      <c r="K166" s="9">
        <f t="shared" si="8"/>
        <v>0.78052652211157336</v>
      </c>
    </row>
    <row r="167" spans="1:11" x14ac:dyDescent="0.35">
      <c r="A167" s="2" t="s">
        <v>79</v>
      </c>
      <c r="B167" s="4" t="s">
        <v>80</v>
      </c>
      <c r="C167" s="2" t="s">
        <v>31</v>
      </c>
      <c r="D167" s="2" t="s">
        <v>32</v>
      </c>
      <c r="E167" s="2" t="s">
        <v>12</v>
      </c>
      <c r="F167" s="2">
        <v>27048.17</v>
      </c>
      <c r="G167" s="2">
        <v>6846.19</v>
      </c>
      <c r="H167" s="2">
        <v>8</v>
      </c>
      <c r="I167" s="2">
        <f t="shared" si="6"/>
        <v>20201.98</v>
      </c>
      <c r="J167" s="2" t="str">
        <f t="shared" si="7"/>
        <v>June</v>
      </c>
      <c r="K167" s="9">
        <f t="shared" si="8"/>
        <v>0.74688897622279071</v>
      </c>
    </row>
    <row r="168" spans="1:11" x14ac:dyDescent="0.35">
      <c r="A168" s="2" t="s">
        <v>85</v>
      </c>
      <c r="B168" s="4" t="s">
        <v>86</v>
      </c>
      <c r="C168" s="2" t="s">
        <v>10</v>
      </c>
      <c r="D168" s="2" t="s">
        <v>32</v>
      </c>
      <c r="E168" s="2" t="s">
        <v>21</v>
      </c>
      <c r="F168" s="2">
        <v>43007.18</v>
      </c>
      <c r="G168" s="2">
        <v>2824.57</v>
      </c>
      <c r="H168" s="2">
        <v>11</v>
      </c>
      <c r="I168" s="2">
        <f t="shared" si="6"/>
        <v>40182.61</v>
      </c>
      <c r="J168" s="2" t="str">
        <f t="shared" si="7"/>
        <v>August</v>
      </c>
      <c r="K168" s="9">
        <f t="shared" si="8"/>
        <v>0.93432329206425535</v>
      </c>
    </row>
    <row r="169" spans="1:11" x14ac:dyDescent="0.35">
      <c r="A169" s="2" t="s">
        <v>87</v>
      </c>
      <c r="B169" s="4" t="s">
        <v>75</v>
      </c>
      <c r="C169" s="2" t="s">
        <v>27</v>
      </c>
      <c r="D169" s="2" t="s">
        <v>32</v>
      </c>
      <c r="E169" s="2" t="s">
        <v>17</v>
      </c>
      <c r="F169" s="2">
        <v>19566.79</v>
      </c>
      <c r="G169" s="2">
        <v>3082.35</v>
      </c>
      <c r="H169" s="2">
        <v>12</v>
      </c>
      <c r="I169" s="2">
        <f t="shared" si="6"/>
        <v>16484.440000000002</v>
      </c>
      <c r="J169" s="2" t="str">
        <f t="shared" si="7"/>
        <v>April</v>
      </c>
      <c r="K169" s="9">
        <f t="shared" si="8"/>
        <v>0.84247032855159187</v>
      </c>
    </row>
    <row r="170" spans="1:11" x14ac:dyDescent="0.35">
      <c r="A170" s="2" t="s">
        <v>88</v>
      </c>
      <c r="B170" s="4" t="s">
        <v>89</v>
      </c>
      <c r="C170" s="2" t="s">
        <v>27</v>
      </c>
      <c r="D170" s="2" t="s">
        <v>32</v>
      </c>
      <c r="E170" s="2" t="s">
        <v>21</v>
      </c>
      <c r="F170" s="2">
        <v>19215.43</v>
      </c>
      <c r="G170" s="2">
        <v>4885.17</v>
      </c>
      <c r="H170" s="2">
        <v>14</v>
      </c>
      <c r="I170" s="2">
        <f t="shared" si="6"/>
        <v>14330.26</v>
      </c>
      <c r="J170" s="2" t="str">
        <f t="shared" si="7"/>
        <v>April</v>
      </c>
      <c r="K170" s="9">
        <f t="shared" si="8"/>
        <v>0.74576837468638479</v>
      </c>
    </row>
    <row r="171" spans="1:11" x14ac:dyDescent="0.35">
      <c r="A171" s="2" t="s">
        <v>90</v>
      </c>
      <c r="B171" s="4" t="s">
        <v>91</v>
      </c>
      <c r="C171" s="2" t="s">
        <v>31</v>
      </c>
      <c r="D171" s="2" t="s">
        <v>32</v>
      </c>
      <c r="E171" s="2" t="s">
        <v>21</v>
      </c>
      <c r="F171" s="2">
        <v>29103.65</v>
      </c>
      <c r="G171" s="2">
        <v>2494.13</v>
      </c>
      <c r="H171" s="2">
        <v>15</v>
      </c>
      <c r="I171" s="2">
        <f t="shared" si="6"/>
        <v>26609.52</v>
      </c>
      <c r="J171" s="2" t="str">
        <f t="shared" si="7"/>
        <v>June</v>
      </c>
      <c r="K171" s="9">
        <f t="shared" si="8"/>
        <v>0.91430181437723446</v>
      </c>
    </row>
    <row r="172" spans="1:11" x14ac:dyDescent="0.35">
      <c r="A172" s="2" t="s">
        <v>100</v>
      </c>
      <c r="B172" s="4" t="s">
        <v>101</v>
      </c>
      <c r="C172" s="2" t="s">
        <v>31</v>
      </c>
      <c r="D172" s="2" t="s">
        <v>32</v>
      </c>
      <c r="E172" s="2" t="s">
        <v>12</v>
      </c>
      <c r="F172" s="2">
        <v>10769.06</v>
      </c>
      <c r="G172" s="2">
        <v>2761</v>
      </c>
      <c r="H172" s="2">
        <v>4</v>
      </c>
      <c r="I172" s="2">
        <f t="shared" si="6"/>
        <v>8008.0599999999995</v>
      </c>
      <c r="J172" s="2" t="str">
        <f t="shared" si="7"/>
        <v>January</v>
      </c>
      <c r="K172" s="9">
        <f t="shared" si="8"/>
        <v>0.74361736307532877</v>
      </c>
    </row>
    <row r="173" spans="1:11" x14ac:dyDescent="0.35">
      <c r="A173" s="2" t="s">
        <v>102</v>
      </c>
      <c r="B173" s="4" t="s">
        <v>103</v>
      </c>
      <c r="C173" s="2" t="s">
        <v>10</v>
      </c>
      <c r="D173" s="2" t="s">
        <v>32</v>
      </c>
      <c r="E173" s="2" t="s">
        <v>12</v>
      </c>
      <c r="F173" s="2">
        <v>49786.92</v>
      </c>
      <c r="G173" s="2">
        <v>13171</v>
      </c>
      <c r="H173" s="2">
        <v>16</v>
      </c>
      <c r="I173" s="2">
        <f t="shared" si="6"/>
        <v>36615.919999999998</v>
      </c>
      <c r="J173" s="2" t="str">
        <f t="shared" si="7"/>
        <v>December</v>
      </c>
      <c r="K173" s="9">
        <f t="shared" si="8"/>
        <v>0.73545260482070385</v>
      </c>
    </row>
    <row r="174" spans="1:11" x14ac:dyDescent="0.35">
      <c r="A174" s="2" t="s">
        <v>104</v>
      </c>
      <c r="B174" s="4" t="s">
        <v>105</v>
      </c>
      <c r="C174" s="2" t="s">
        <v>10</v>
      </c>
      <c r="D174" s="2" t="s">
        <v>32</v>
      </c>
      <c r="E174" s="2" t="s">
        <v>12</v>
      </c>
      <c r="F174" s="2">
        <v>30718.29</v>
      </c>
      <c r="G174" s="2">
        <v>7546.15</v>
      </c>
      <c r="H174" s="2">
        <v>16</v>
      </c>
      <c r="I174" s="2">
        <f t="shared" si="6"/>
        <v>23172.14</v>
      </c>
      <c r="J174" s="2" t="str">
        <f t="shared" si="7"/>
        <v>September</v>
      </c>
      <c r="K174" s="9">
        <f t="shared" si="8"/>
        <v>0.75434342211106153</v>
      </c>
    </row>
    <row r="175" spans="1:11" x14ac:dyDescent="0.35">
      <c r="A175" s="2" t="s">
        <v>108</v>
      </c>
      <c r="B175" s="4" t="s">
        <v>109</v>
      </c>
      <c r="C175" s="2" t="s">
        <v>10</v>
      </c>
      <c r="D175" s="2" t="s">
        <v>32</v>
      </c>
      <c r="E175" s="2" t="s">
        <v>21</v>
      </c>
      <c r="F175" s="2">
        <v>32340.38</v>
      </c>
      <c r="G175" s="2">
        <v>3940.81</v>
      </c>
      <c r="H175" s="2">
        <v>19</v>
      </c>
      <c r="I175" s="2">
        <f t="shared" si="6"/>
        <v>28399.57</v>
      </c>
      <c r="J175" s="2" t="str">
        <f t="shared" si="7"/>
        <v>January</v>
      </c>
      <c r="K175" s="9">
        <f t="shared" si="8"/>
        <v>0.87814583502110977</v>
      </c>
    </row>
    <row r="176" spans="1:11" x14ac:dyDescent="0.35">
      <c r="A176" s="2" t="s">
        <v>118</v>
      </c>
      <c r="B176" s="4" t="s">
        <v>119</v>
      </c>
      <c r="C176" s="2" t="s">
        <v>31</v>
      </c>
      <c r="D176" s="2" t="s">
        <v>32</v>
      </c>
      <c r="E176" s="2" t="s">
        <v>12</v>
      </c>
      <c r="F176" s="2">
        <v>48379.37</v>
      </c>
      <c r="G176" s="2">
        <v>2685.15</v>
      </c>
      <c r="H176" s="2">
        <v>20</v>
      </c>
      <c r="I176" s="2">
        <f t="shared" si="6"/>
        <v>45694.22</v>
      </c>
      <c r="J176" s="2" t="str">
        <f t="shared" si="7"/>
        <v>October</v>
      </c>
      <c r="K176" s="9">
        <f t="shared" si="8"/>
        <v>0.94449803707654723</v>
      </c>
    </row>
    <row r="177" spans="1:11" x14ac:dyDescent="0.35">
      <c r="A177" s="2" t="s">
        <v>135</v>
      </c>
      <c r="B177" s="4" t="s">
        <v>136</v>
      </c>
      <c r="C177" s="2" t="s">
        <v>31</v>
      </c>
      <c r="D177" s="2" t="s">
        <v>32</v>
      </c>
      <c r="E177" s="2" t="s">
        <v>17</v>
      </c>
      <c r="F177" s="2">
        <v>39530.94</v>
      </c>
      <c r="G177" s="2">
        <v>6658.08</v>
      </c>
      <c r="H177" s="2">
        <v>5</v>
      </c>
      <c r="I177" s="2">
        <f t="shared" si="6"/>
        <v>32872.86</v>
      </c>
      <c r="J177" s="2" t="str">
        <f t="shared" si="7"/>
        <v>December</v>
      </c>
      <c r="K177" s="9">
        <f t="shared" si="8"/>
        <v>0.83157294008186999</v>
      </c>
    </row>
    <row r="178" spans="1:11" x14ac:dyDescent="0.35">
      <c r="A178" s="2" t="s">
        <v>141</v>
      </c>
      <c r="B178" s="4" t="s">
        <v>142</v>
      </c>
      <c r="C178" s="2" t="s">
        <v>31</v>
      </c>
      <c r="D178" s="2" t="s">
        <v>32</v>
      </c>
      <c r="E178" s="2" t="s">
        <v>12</v>
      </c>
      <c r="F178" s="2">
        <v>38553.17</v>
      </c>
      <c r="G178" s="2">
        <v>4892.4799999999996</v>
      </c>
      <c r="H178" s="2">
        <v>13</v>
      </c>
      <c r="I178" s="2">
        <f t="shared" si="6"/>
        <v>33660.69</v>
      </c>
      <c r="J178" s="2" t="str">
        <f t="shared" si="7"/>
        <v>September</v>
      </c>
      <c r="K178" s="9">
        <f t="shared" si="8"/>
        <v>0.87309785421017272</v>
      </c>
    </row>
    <row r="179" spans="1:11" x14ac:dyDescent="0.35">
      <c r="A179" s="2" t="s">
        <v>143</v>
      </c>
      <c r="B179" s="4" t="s">
        <v>144</v>
      </c>
      <c r="C179" s="2" t="s">
        <v>27</v>
      </c>
      <c r="D179" s="2" t="s">
        <v>32</v>
      </c>
      <c r="E179" s="2" t="s">
        <v>21</v>
      </c>
      <c r="F179" s="2">
        <v>37152.83</v>
      </c>
      <c r="G179" s="2">
        <v>3450.57</v>
      </c>
      <c r="H179" s="2">
        <v>8</v>
      </c>
      <c r="I179" s="2">
        <f t="shared" si="6"/>
        <v>33702.26</v>
      </c>
      <c r="J179" s="2" t="str">
        <f t="shared" si="7"/>
        <v>August</v>
      </c>
      <c r="K179" s="9">
        <f t="shared" si="8"/>
        <v>0.90712497540564208</v>
      </c>
    </row>
    <row r="180" spans="1:11" x14ac:dyDescent="0.35">
      <c r="A180" s="2" t="s">
        <v>149</v>
      </c>
      <c r="B180" s="4" t="s">
        <v>150</v>
      </c>
      <c r="C180" s="2" t="s">
        <v>15</v>
      </c>
      <c r="D180" s="2" t="s">
        <v>32</v>
      </c>
      <c r="E180" s="2" t="s">
        <v>21</v>
      </c>
      <c r="F180" s="2">
        <v>28237.18</v>
      </c>
      <c r="G180" s="2">
        <v>7326.63</v>
      </c>
      <c r="H180" s="2">
        <v>20</v>
      </c>
      <c r="I180" s="2">
        <f t="shared" si="6"/>
        <v>20910.55</v>
      </c>
      <c r="J180" s="2" t="str">
        <f t="shared" si="7"/>
        <v>September</v>
      </c>
      <c r="K180" s="9">
        <f t="shared" si="8"/>
        <v>0.74053251776558415</v>
      </c>
    </row>
    <row r="181" spans="1:11" x14ac:dyDescent="0.35">
      <c r="A181" s="2" t="s">
        <v>167</v>
      </c>
      <c r="B181" s="4" t="s">
        <v>168</v>
      </c>
      <c r="C181" s="2" t="s">
        <v>27</v>
      </c>
      <c r="D181" s="2" t="s">
        <v>32</v>
      </c>
      <c r="E181" s="2" t="s">
        <v>12</v>
      </c>
      <c r="F181" s="2">
        <v>7959.49</v>
      </c>
      <c r="G181" s="2">
        <v>1572.65</v>
      </c>
      <c r="H181" s="2">
        <v>15</v>
      </c>
      <c r="I181" s="2">
        <f t="shared" si="6"/>
        <v>6386.84</v>
      </c>
      <c r="J181" s="2" t="str">
        <f t="shared" si="7"/>
        <v>August</v>
      </c>
      <c r="K181" s="9">
        <f t="shared" si="8"/>
        <v>0.8024182453900941</v>
      </c>
    </row>
    <row r="182" spans="1:11" x14ac:dyDescent="0.35">
      <c r="A182" s="2" t="s">
        <v>170</v>
      </c>
      <c r="B182" s="4" t="s">
        <v>38</v>
      </c>
      <c r="C182" s="2" t="s">
        <v>10</v>
      </c>
      <c r="D182" s="2" t="s">
        <v>32</v>
      </c>
      <c r="E182" s="2" t="s">
        <v>12</v>
      </c>
      <c r="F182" s="2">
        <v>14965.8</v>
      </c>
      <c r="G182" s="2">
        <v>2011.49</v>
      </c>
      <c r="H182" s="2">
        <v>4</v>
      </c>
      <c r="I182" s="2">
        <f t="shared" si="6"/>
        <v>12954.31</v>
      </c>
      <c r="J182" s="2" t="str">
        <f t="shared" si="7"/>
        <v>May</v>
      </c>
      <c r="K182" s="9">
        <f t="shared" si="8"/>
        <v>0.86559422149166765</v>
      </c>
    </row>
    <row r="183" spans="1:11" x14ac:dyDescent="0.35">
      <c r="A183" s="2" t="s">
        <v>190</v>
      </c>
      <c r="B183" s="4" t="s">
        <v>191</v>
      </c>
      <c r="C183" s="2" t="s">
        <v>31</v>
      </c>
      <c r="D183" s="2" t="s">
        <v>32</v>
      </c>
      <c r="E183" s="2" t="s">
        <v>17</v>
      </c>
      <c r="F183" s="2">
        <v>38007.19</v>
      </c>
      <c r="G183" s="2">
        <v>3827.6</v>
      </c>
      <c r="H183" s="2">
        <v>10</v>
      </c>
      <c r="I183" s="2">
        <f t="shared" si="6"/>
        <v>34179.590000000004</v>
      </c>
      <c r="J183" s="2" t="str">
        <f t="shared" si="7"/>
        <v>November</v>
      </c>
      <c r="K183" s="9">
        <f t="shared" si="8"/>
        <v>0.89929273908436802</v>
      </c>
    </row>
    <row r="184" spans="1:11" x14ac:dyDescent="0.35">
      <c r="A184" s="2" t="s">
        <v>194</v>
      </c>
      <c r="B184" s="4" t="s">
        <v>195</v>
      </c>
      <c r="C184" s="2" t="s">
        <v>10</v>
      </c>
      <c r="D184" s="2" t="s">
        <v>32</v>
      </c>
      <c r="E184" s="2" t="s">
        <v>12</v>
      </c>
      <c r="F184" s="2">
        <v>13524.33</v>
      </c>
      <c r="G184" s="2">
        <v>3240.17</v>
      </c>
      <c r="H184" s="2">
        <v>7</v>
      </c>
      <c r="I184" s="2">
        <f t="shared" si="6"/>
        <v>10284.16</v>
      </c>
      <c r="J184" s="2" t="str">
        <f t="shared" si="7"/>
        <v>April</v>
      </c>
      <c r="K184" s="9">
        <f t="shared" si="8"/>
        <v>0.76041918527572161</v>
      </c>
    </row>
    <row r="185" spans="1:11" x14ac:dyDescent="0.35">
      <c r="A185" s="2" t="s">
        <v>196</v>
      </c>
      <c r="B185" s="4" t="s">
        <v>197</v>
      </c>
      <c r="C185" s="2" t="s">
        <v>15</v>
      </c>
      <c r="D185" s="2" t="s">
        <v>32</v>
      </c>
      <c r="E185" s="2" t="s">
        <v>17</v>
      </c>
      <c r="F185" s="2">
        <v>49667.65</v>
      </c>
      <c r="G185" s="2">
        <v>12962.43</v>
      </c>
      <c r="H185" s="2">
        <v>9</v>
      </c>
      <c r="I185" s="2">
        <f t="shared" si="6"/>
        <v>36705.22</v>
      </c>
      <c r="J185" s="2" t="str">
        <f t="shared" si="7"/>
        <v>February</v>
      </c>
      <c r="K185" s="9">
        <f t="shared" si="8"/>
        <v>0.73901664363021002</v>
      </c>
    </row>
    <row r="186" spans="1:11" x14ac:dyDescent="0.35">
      <c r="A186" s="2" t="s">
        <v>209</v>
      </c>
      <c r="B186" s="4" t="s">
        <v>14</v>
      </c>
      <c r="C186" s="2" t="s">
        <v>10</v>
      </c>
      <c r="D186" s="2" t="s">
        <v>32</v>
      </c>
      <c r="E186" s="2" t="s">
        <v>12</v>
      </c>
      <c r="F186" s="2">
        <v>3717.95</v>
      </c>
      <c r="G186" s="2">
        <v>606.21</v>
      </c>
      <c r="H186" s="2">
        <v>6</v>
      </c>
      <c r="I186" s="2">
        <f t="shared" si="6"/>
        <v>3111.74</v>
      </c>
      <c r="J186" s="2" t="str">
        <f t="shared" si="7"/>
        <v>August</v>
      </c>
      <c r="K186" s="9">
        <f t="shared" si="8"/>
        <v>0.83695047001707934</v>
      </c>
    </row>
    <row r="187" spans="1:11" x14ac:dyDescent="0.35">
      <c r="A187" s="2" t="s">
        <v>222</v>
      </c>
      <c r="B187" s="4" t="s">
        <v>223</v>
      </c>
      <c r="C187" s="2" t="s">
        <v>31</v>
      </c>
      <c r="D187" s="2" t="s">
        <v>32</v>
      </c>
      <c r="E187" s="2" t="s">
        <v>12</v>
      </c>
      <c r="F187" s="2">
        <v>19507.740000000002</v>
      </c>
      <c r="G187" s="2">
        <v>5415.87</v>
      </c>
      <c r="H187" s="2">
        <v>9</v>
      </c>
      <c r="I187" s="2">
        <f t="shared" si="6"/>
        <v>14091.870000000003</v>
      </c>
      <c r="J187" s="2" t="str">
        <f t="shared" si="7"/>
        <v>July</v>
      </c>
      <c r="K187" s="9">
        <f t="shared" si="8"/>
        <v>0.72237327337764401</v>
      </c>
    </row>
    <row r="188" spans="1:11" x14ac:dyDescent="0.35">
      <c r="A188" s="2" t="s">
        <v>227</v>
      </c>
      <c r="B188" s="4" t="s">
        <v>228</v>
      </c>
      <c r="C188" s="2" t="s">
        <v>15</v>
      </c>
      <c r="D188" s="2" t="s">
        <v>32</v>
      </c>
      <c r="E188" s="2" t="s">
        <v>21</v>
      </c>
      <c r="F188" s="2">
        <v>7234.37</v>
      </c>
      <c r="G188" s="2">
        <v>2113.7600000000002</v>
      </c>
      <c r="H188" s="2">
        <v>8</v>
      </c>
      <c r="I188" s="2">
        <f t="shared" si="6"/>
        <v>5120.6099999999997</v>
      </c>
      <c r="J188" s="2" t="str">
        <f t="shared" si="7"/>
        <v>May</v>
      </c>
      <c r="K188" s="9">
        <f t="shared" si="8"/>
        <v>0.7078169902838809</v>
      </c>
    </row>
    <row r="189" spans="1:11" x14ac:dyDescent="0.35">
      <c r="A189" s="2" t="s">
        <v>229</v>
      </c>
      <c r="B189" s="4" t="s">
        <v>230</v>
      </c>
      <c r="C189" s="2" t="s">
        <v>10</v>
      </c>
      <c r="D189" s="2" t="s">
        <v>32</v>
      </c>
      <c r="E189" s="2" t="s">
        <v>12</v>
      </c>
      <c r="F189" s="2">
        <v>35123.300000000003</v>
      </c>
      <c r="G189" s="2">
        <v>7428.75</v>
      </c>
      <c r="H189" s="2">
        <v>18</v>
      </c>
      <c r="I189" s="2">
        <f t="shared" si="6"/>
        <v>27694.550000000003</v>
      </c>
      <c r="J189" s="2" t="str">
        <f t="shared" si="7"/>
        <v>October</v>
      </c>
      <c r="K189" s="9">
        <f t="shared" si="8"/>
        <v>0.78849510154228108</v>
      </c>
    </row>
    <row r="190" spans="1:11" x14ac:dyDescent="0.35">
      <c r="A190" s="2" t="s">
        <v>235</v>
      </c>
      <c r="B190" s="4" t="s">
        <v>236</v>
      </c>
      <c r="C190" s="2" t="s">
        <v>15</v>
      </c>
      <c r="D190" s="2" t="s">
        <v>32</v>
      </c>
      <c r="E190" s="2" t="s">
        <v>12</v>
      </c>
      <c r="F190" s="2">
        <v>49756.84</v>
      </c>
      <c r="G190" s="2">
        <v>14320.8</v>
      </c>
      <c r="H190" s="2">
        <v>19</v>
      </c>
      <c r="I190" s="2">
        <f t="shared" si="6"/>
        <v>35436.039999999994</v>
      </c>
      <c r="J190" s="2" t="str">
        <f t="shared" si="7"/>
        <v>July</v>
      </c>
      <c r="K190" s="9">
        <f t="shared" si="8"/>
        <v>0.71218429466179922</v>
      </c>
    </row>
    <row r="191" spans="1:11" x14ac:dyDescent="0.35">
      <c r="A191" s="2" t="s">
        <v>261</v>
      </c>
      <c r="B191" s="4" t="s">
        <v>262</v>
      </c>
      <c r="C191" s="2" t="s">
        <v>27</v>
      </c>
      <c r="D191" s="2" t="s">
        <v>32</v>
      </c>
      <c r="E191" s="2" t="s">
        <v>21</v>
      </c>
      <c r="F191" s="2">
        <v>19773.060000000001</v>
      </c>
      <c r="G191" s="2">
        <v>1070.73</v>
      </c>
      <c r="H191" s="2">
        <v>11</v>
      </c>
      <c r="I191" s="2">
        <f t="shared" si="6"/>
        <v>18702.330000000002</v>
      </c>
      <c r="J191" s="2" t="str">
        <f t="shared" si="7"/>
        <v>June</v>
      </c>
      <c r="K191" s="9">
        <f t="shared" si="8"/>
        <v>0.9458490491608279</v>
      </c>
    </row>
    <row r="192" spans="1:11" x14ac:dyDescent="0.35">
      <c r="A192" s="2" t="s">
        <v>279</v>
      </c>
      <c r="B192" s="4" t="s">
        <v>34</v>
      </c>
      <c r="C192" s="2" t="s">
        <v>31</v>
      </c>
      <c r="D192" s="2" t="s">
        <v>32</v>
      </c>
      <c r="E192" s="2" t="s">
        <v>17</v>
      </c>
      <c r="F192" s="2">
        <v>11423.56</v>
      </c>
      <c r="G192" s="2">
        <v>765.64</v>
      </c>
      <c r="H192" s="2">
        <v>7</v>
      </c>
      <c r="I192" s="2">
        <f t="shared" si="6"/>
        <v>10657.92</v>
      </c>
      <c r="J192" s="2" t="str">
        <f t="shared" si="7"/>
        <v>October</v>
      </c>
      <c r="K192" s="9">
        <f t="shared" si="8"/>
        <v>0.93297711046293808</v>
      </c>
    </row>
    <row r="193" spans="1:11" x14ac:dyDescent="0.35">
      <c r="A193" s="2" t="s">
        <v>287</v>
      </c>
      <c r="B193" s="4" t="s">
        <v>288</v>
      </c>
      <c r="C193" s="2" t="s">
        <v>10</v>
      </c>
      <c r="D193" s="2" t="s">
        <v>32</v>
      </c>
      <c r="E193" s="2" t="s">
        <v>21</v>
      </c>
      <c r="F193" s="2">
        <v>4240.8599999999997</v>
      </c>
      <c r="G193" s="2">
        <v>374.82</v>
      </c>
      <c r="H193" s="2">
        <v>2</v>
      </c>
      <c r="I193" s="2">
        <f t="shared" si="6"/>
        <v>3866.0399999999995</v>
      </c>
      <c r="J193" s="2" t="str">
        <f t="shared" si="7"/>
        <v>September</v>
      </c>
      <c r="K193" s="9">
        <f t="shared" si="8"/>
        <v>0.91161698334771712</v>
      </c>
    </row>
    <row r="194" spans="1:11" x14ac:dyDescent="0.35">
      <c r="A194" s="2" t="s">
        <v>289</v>
      </c>
      <c r="B194" s="4" t="s">
        <v>290</v>
      </c>
      <c r="C194" s="2" t="s">
        <v>10</v>
      </c>
      <c r="D194" s="2" t="s">
        <v>32</v>
      </c>
      <c r="E194" s="2" t="s">
        <v>17</v>
      </c>
      <c r="F194" s="2">
        <v>26188.49</v>
      </c>
      <c r="G194" s="2">
        <v>7271.05</v>
      </c>
      <c r="H194" s="2">
        <v>2</v>
      </c>
      <c r="I194" s="2">
        <f t="shared" ref="I194:I257" si="9">(F194-G194)</f>
        <v>18917.440000000002</v>
      </c>
      <c r="J194" s="2" t="str">
        <f t="shared" ref="J194:J257" si="10">TEXT(B194,"mmmm")</f>
        <v>October</v>
      </c>
      <c r="K194" s="9">
        <f t="shared" ref="K194:K257" si="11">(F194-G194)/F194</f>
        <v>0.72235703547627228</v>
      </c>
    </row>
    <row r="195" spans="1:11" x14ac:dyDescent="0.35">
      <c r="A195" s="2" t="s">
        <v>291</v>
      </c>
      <c r="B195" s="4" t="s">
        <v>292</v>
      </c>
      <c r="C195" s="2" t="s">
        <v>10</v>
      </c>
      <c r="D195" s="2" t="s">
        <v>32</v>
      </c>
      <c r="E195" s="2" t="s">
        <v>12</v>
      </c>
      <c r="F195" s="2">
        <v>21891.63</v>
      </c>
      <c r="G195" s="2">
        <v>4876.93</v>
      </c>
      <c r="H195" s="2">
        <v>8</v>
      </c>
      <c r="I195" s="2">
        <f t="shared" si="9"/>
        <v>17014.7</v>
      </c>
      <c r="J195" s="2" t="str">
        <f t="shared" si="10"/>
        <v>July</v>
      </c>
      <c r="K195" s="9">
        <f t="shared" si="11"/>
        <v>0.77722398925982217</v>
      </c>
    </row>
    <row r="196" spans="1:11" x14ac:dyDescent="0.35">
      <c r="A196" s="2" t="s">
        <v>295</v>
      </c>
      <c r="B196" s="4" t="s">
        <v>284</v>
      </c>
      <c r="C196" s="2" t="s">
        <v>31</v>
      </c>
      <c r="D196" s="2" t="s">
        <v>32</v>
      </c>
      <c r="E196" s="2" t="s">
        <v>12</v>
      </c>
      <c r="F196" s="2">
        <v>8963.94</v>
      </c>
      <c r="G196" s="2">
        <v>1605.13</v>
      </c>
      <c r="H196" s="2">
        <v>9</v>
      </c>
      <c r="I196" s="2">
        <f t="shared" si="9"/>
        <v>7358.81</v>
      </c>
      <c r="J196" s="2" t="str">
        <f t="shared" si="10"/>
        <v>October</v>
      </c>
      <c r="K196" s="9">
        <f t="shared" si="11"/>
        <v>0.8209347675241021</v>
      </c>
    </row>
    <row r="197" spans="1:11" x14ac:dyDescent="0.35">
      <c r="A197" s="2" t="s">
        <v>314</v>
      </c>
      <c r="B197" s="4" t="s">
        <v>315</v>
      </c>
      <c r="C197" s="2" t="s">
        <v>27</v>
      </c>
      <c r="D197" s="2" t="s">
        <v>32</v>
      </c>
      <c r="E197" s="2" t="s">
        <v>17</v>
      </c>
      <c r="F197" s="2">
        <v>43895.85</v>
      </c>
      <c r="G197" s="2">
        <v>7939.18</v>
      </c>
      <c r="H197" s="2">
        <v>5</v>
      </c>
      <c r="I197" s="2">
        <f t="shared" si="9"/>
        <v>35956.67</v>
      </c>
      <c r="J197" s="2" t="str">
        <f t="shared" si="10"/>
        <v>May</v>
      </c>
      <c r="K197" s="9">
        <f t="shared" si="11"/>
        <v>0.81913597754685241</v>
      </c>
    </row>
    <row r="198" spans="1:11" x14ac:dyDescent="0.35">
      <c r="A198" s="2" t="s">
        <v>318</v>
      </c>
      <c r="B198" s="4" t="s">
        <v>319</v>
      </c>
      <c r="C198" s="2" t="s">
        <v>27</v>
      </c>
      <c r="D198" s="2" t="s">
        <v>32</v>
      </c>
      <c r="E198" s="2" t="s">
        <v>17</v>
      </c>
      <c r="F198" s="2">
        <v>37124.06</v>
      </c>
      <c r="G198" s="2">
        <v>10697.55</v>
      </c>
      <c r="H198" s="2">
        <v>19</v>
      </c>
      <c r="I198" s="2">
        <f t="shared" si="9"/>
        <v>26426.51</v>
      </c>
      <c r="J198" s="2" t="str">
        <f t="shared" si="10"/>
        <v>September</v>
      </c>
      <c r="K198" s="9">
        <f t="shared" si="11"/>
        <v>0.71184320895936493</v>
      </c>
    </row>
    <row r="199" spans="1:11" x14ac:dyDescent="0.35">
      <c r="A199" s="2" t="s">
        <v>322</v>
      </c>
      <c r="B199" s="4" t="s">
        <v>323</v>
      </c>
      <c r="C199" s="2" t="s">
        <v>31</v>
      </c>
      <c r="D199" s="2" t="s">
        <v>32</v>
      </c>
      <c r="E199" s="2" t="s">
        <v>21</v>
      </c>
      <c r="F199" s="2">
        <v>11149.82</v>
      </c>
      <c r="G199" s="2">
        <v>2926.7</v>
      </c>
      <c r="H199" s="2">
        <v>9</v>
      </c>
      <c r="I199" s="2">
        <f t="shared" si="9"/>
        <v>8223.119999999999</v>
      </c>
      <c r="J199" s="2" t="str">
        <f t="shared" si="10"/>
        <v>June</v>
      </c>
      <c r="K199" s="9">
        <f t="shared" si="11"/>
        <v>0.73751145758406855</v>
      </c>
    </row>
    <row r="200" spans="1:11" x14ac:dyDescent="0.35">
      <c r="A200" s="2" t="s">
        <v>357</v>
      </c>
      <c r="B200" s="4" t="s">
        <v>358</v>
      </c>
      <c r="C200" s="2" t="s">
        <v>27</v>
      </c>
      <c r="D200" s="2" t="s">
        <v>32</v>
      </c>
      <c r="E200" s="2" t="s">
        <v>17</v>
      </c>
      <c r="F200" s="2">
        <v>14911.18</v>
      </c>
      <c r="G200" s="2">
        <v>1392.4</v>
      </c>
      <c r="H200" s="2">
        <v>17</v>
      </c>
      <c r="I200" s="2">
        <f t="shared" si="9"/>
        <v>13518.78</v>
      </c>
      <c r="J200" s="2" t="str">
        <f t="shared" si="10"/>
        <v>September</v>
      </c>
      <c r="K200" s="9">
        <f t="shared" si="11"/>
        <v>0.90662040160470203</v>
      </c>
    </row>
    <row r="201" spans="1:11" x14ac:dyDescent="0.35">
      <c r="A201" s="2" t="s">
        <v>365</v>
      </c>
      <c r="B201" s="4" t="s">
        <v>366</v>
      </c>
      <c r="C201" s="2" t="s">
        <v>15</v>
      </c>
      <c r="D201" s="2" t="s">
        <v>32</v>
      </c>
      <c r="E201" s="2" t="s">
        <v>12</v>
      </c>
      <c r="F201" s="2">
        <v>6222.57</v>
      </c>
      <c r="G201" s="2">
        <v>1299.42</v>
      </c>
      <c r="H201" s="2">
        <v>17</v>
      </c>
      <c r="I201" s="2">
        <f t="shared" si="9"/>
        <v>4923.1499999999996</v>
      </c>
      <c r="J201" s="2" t="str">
        <f t="shared" si="10"/>
        <v>February</v>
      </c>
      <c r="K201" s="9">
        <f t="shared" si="11"/>
        <v>0.7911763146095584</v>
      </c>
    </row>
    <row r="202" spans="1:11" x14ac:dyDescent="0.35">
      <c r="A202" s="2" t="s">
        <v>367</v>
      </c>
      <c r="B202" s="4" t="s">
        <v>368</v>
      </c>
      <c r="C202" s="2" t="s">
        <v>27</v>
      </c>
      <c r="D202" s="2" t="s">
        <v>32</v>
      </c>
      <c r="E202" s="2" t="s">
        <v>21</v>
      </c>
      <c r="F202" s="2">
        <v>34691.379999999997</v>
      </c>
      <c r="G202" s="2">
        <v>3743.11</v>
      </c>
      <c r="H202" s="2">
        <v>17</v>
      </c>
      <c r="I202" s="2">
        <f t="shared" si="9"/>
        <v>30948.269999999997</v>
      </c>
      <c r="J202" s="2" t="str">
        <f t="shared" si="10"/>
        <v>June</v>
      </c>
      <c r="K202" s="9">
        <f t="shared" si="11"/>
        <v>0.89210259147949722</v>
      </c>
    </row>
    <row r="203" spans="1:11" x14ac:dyDescent="0.35">
      <c r="A203" s="2" t="s">
        <v>382</v>
      </c>
      <c r="B203" s="4" t="s">
        <v>372</v>
      </c>
      <c r="C203" s="2" t="s">
        <v>27</v>
      </c>
      <c r="D203" s="2" t="s">
        <v>32</v>
      </c>
      <c r="E203" s="2" t="s">
        <v>17</v>
      </c>
      <c r="F203" s="2">
        <v>23575.15</v>
      </c>
      <c r="G203" s="2">
        <v>5884.63</v>
      </c>
      <c r="H203" s="2">
        <v>12</v>
      </c>
      <c r="I203" s="2">
        <f t="shared" si="9"/>
        <v>17690.52</v>
      </c>
      <c r="J203" s="2" t="str">
        <f t="shared" si="10"/>
        <v>August</v>
      </c>
      <c r="K203" s="9">
        <f t="shared" si="11"/>
        <v>0.75038843867377303</v>
      </c>
    </row>
    <row r="204" spans="1:11" x14ac:dyDescent="0.35">
      <c r="A204" s="2" t="s">
        <v>383</v>
      </c>
      <c r="B204" s="4" t="s">
        <v>204</v>
      </c>
      <c r="C204" s="2" t="s">
        <v>27</v>
      </c>
      <c r="D204" s="2" t="s">
        <v>32</v>
      </c>
      <c r="E204" s="2" t="s">
        <v>17</v>
      </c>
      <c r="F204" s="2">
        <v>8507.73</v>
      </c>
      <c r="G204" s="2">
        <v>1395.03</v>
      </c>
      <c r="H204" s="2">
        <v>6</v>
      </c>
      <c r="I204" s="2">
        <f t="shared" si="9"/>
        <v>7112.7</v>
      </c>
      <c r="J204" s="2" t="str">
        <f t="shared" si="10"/>
        <v>December</v>
      </c>
      <c r="K204" s="9">
        <f t="shared" si="11"/>
        <v>0.83602794164835981</v>
      </c>
    </row>
    <row r="205" spans="1:11" x14ac:dyDescent="0.35">
      <c r="A205" s="2" t="s">
        <v>389</v>
      </c>
      <c r="B205" s="4" t="s">
        <v>390</v>
      </c>
      <c r="C205" s="2" t="s">
        <v>27</v>
      </c>
      <c r="D205" s="2" t="s">
        <v>32</v>
      </c>
      <c r="E205" s="2" t="s">
        <v>12</v>
      </c>
      <c r="F205" s="2">
        <v>43278.6</v>
      </c>
      <c r="G205" s="2">
        <v>4627.13</v>
      </c>
      <c r="H205" s="2">
        <v>11</v>
      </c>
      <c r="I205" s="2">
        <f t="shared" si="9"/>
        <v>38651.47</v>
      </c>
      <c r="J205" s="2" t="str">
        <f t="shared" si="10"/>
        <v>January</v>
      </c>
      <c r="K205" s="9">
        <f t="shared" si="11"/>
        <v>0.89308503509817794</v>
      </c>
    </row>
    <row r="206" spans="1:11" x14ac:dyDescent="0.35">
      <c r="A206" s="2" t="s">
        <v>396</v>
      </c>
      <c r="B206" s="4" t="s">
        <v>397</v>
      </c>
      <c r="C206" s="2" t="s">
        <v>10</v>
      </c>
      <c r="D206" s="2" t="s">
        <v>32</v>
      </c>
      <c r="E206" s="2" t="s">
        <v>21</v>
      </c>
      <c r="F206" s="2">
        <v>26667.1</v>
      </c>
      <c r="G206" s="2">
        <v>7987.58</v>
      </c>
      <c r="H206" s="2">
        <v>17</v>
      </c>
      <c r="I206" s="2">
        <f t="shared" si="9"/>
        <v>18679.519999999997</v>
      </c>
      <c r="J206" s="2" t="str">
        <f t="shared" si="10"/>
        <v>April</v>
      </c>
      <c r="K206" s="9">
        <f t="shared" si="11"/>
        <v>0.70047061735246796</v>
      </c>
    </row>
    <row r="207" spans="1:11" x14ac:dyDescent="0.35">
      <c r="A207" s="2" t="s">
        <v>400</v>
      </c>
      <c r="B207" s="4" t="s">
        <v>346</v>
      </c>
      <c r="C207" s="2" t="s">
        <v>31</v>
      </c>
      <c r="D207" s="2" t="s">
        <v>32</v>
      </c>
      <c r="E207" s="2" t="s">
        <v>21</v>
      </c>
      <c r="F207" s="2">
        <v>34137.300000000003</v>
      </c>
      <c r="G207" s="2">
        <v>4734.63</v>
      </c>
      <c r="H207" s="2">
        <v>1</v>
      </c>
      <c r="I207" s="2">
        <f t="shared" si="9"/>
        <v>29402.670000000002</v>
      </c>
      <c r="J207" s="2" t="str">
        <f t="shared" si="10"/>
        <v>December</v>
      </c>
      <c r="K207" s="9">
        <f t="shared" si="11"/>
        <v>0.86130625444894582</v>
      </c>
    </row>
    <row r="208" spans="1:11" x14ac:dyDescent="0.35">
      <c r="A208" s="2" t="s">
        <v>403</v>
      </c>
      <c r="B208" s="4" t="s">
        <v>404</v>
      </c>
      <c r="C208" s="2" t="s">
        <v>15</v>
      </c>
      <c r="D208" s="2" t="s">
        <v>32</v>
      </c>
      <c r="E208" s="2" t="s">
        <v>17</v>
      </c>
      <c r="F208" s="2">
        <v>44155.18</v>
      </c>
      <c r="G208" s="2">
        <v>4343.62</v>
      </c>
      <c r="H208" s="2">
        <v>15</v>
      </c>
      <c r="I208" s="2">
        <f t="shared" si="9"/>
        <v>39811.56</v>
      </c>
      <c r="J208" s="2" t="str">
        <f t="shared" si="10"/>
        <v>December</v>
      </c>
      <c r="K208" s="9">
        <f t="shared" si="11"/>
        <v>0.90162830272688277</v>
      </c>
    </row>
    <row r="209" spans="1:11" x14ac:dyDescent="0.35">
      <c r="A209" s="2" t="s">
        <v>407</v>
      </c>
      <c r="B209" s="4" t="s">
        <v>402</v>
      </c>
      <c r="C209" s="2" t="s">
        <v>31</v>
      </c>
      <c r="D209" s="2" t="s">
        <v>32</v>
      </c>
      <c r="E209" s="2" t="s">
        <v>17</v>
      </c>
      <c r="F209" s="2">
        <v>24264.720000000001</v>
      </c>
      <c r="G209" s="2">
        <v>2796.8</v>
      </c>
      <c r="H209" s="2">
        <v>4</v>
      </c>
      <c r="I209" s="2">
        <f t="shared" si="9"/>
        <v>21467.920000000002</v>
      </c>
      <c r="J209" s="2" t="str">
        <f t="shared" si="10"/>
        <v>November</v>
      </c>
      <c r="K209" s="9">
        <f t="shared" si="11"/>
        <v>0.88473800645546297</v>
      </c>
    </row>
    <row r="210" spans="1:11" x14ac:dyDescent="0.35">
      <c r="A210" s="2" t="s">
        <v>408</v>
      </c>
      <c r="B210" s="4" t="s">
        <v>75</v>
      </c>
      <c r="C210" s="2" t="s">
        <v>10</v>
      </c>
      <c r="D210" s="2" t="s">
        <v>32</v>
      </c>
      <c r="E210" s="2" t="s">
        <v>12</v>
      </c>
      <c r="F210" s="2">
        <v>38080.639999999999</v>
      </c>
      <c r="G210" s="2">
        <v>6461.71</v>
      </c>
      <c r="H210" s="2">
        <v>13</v>
      </c>
      <c r="I210" s="2">
        <f t="shared" si="9"/>
        <v>31618.93</v>
      </c>
      <c r="J210" s="2" t="str">
        <f t="shared" si="10"/>
        <v>April</v>
      </c>
      <c r="K210" s="9">
        <f t="shared" si="11"/>
        <v>0.83031508924219766</v>
      </c>
    </row>
    <row r="211" spans="1:11" x14ac:dyDescent="0.35">
      <c r="A211" s="2" t="s">
        <v>414</v>
      </c>
      <c r="B211" s="4" t="s">
        <v>236</v>
      </c>
      <c r="C211" s="2" t="s">
        <v>27</v>
      </c>
      <c r="D211" s="2" t="s">
        <v>32</v>
      </c>
      <c r="E211" s="2" t="s">
        <v>12</v>
      </c>
      <c r="F211" s="2">
        <v>8850.56</v>
      </c>
      <c r="G211" s="2">
        <v>2541.12</v>
      </c>
      <c r="H211" s="2">
        <v>1</v>
      </c>
      <c r="I211" s="2">
        <f t="shared" si="9"/>
        <v>6309.44</v>
      </c>
      <c r="J211" s="2" t="str">
        <f t="shared" si="10"/>
        <v>July</v>
      </c>
      <c r="K211" s="9">
        <f t="shared" si="11"/>
        <v>0.71288596427796658</v>
      </c>
    </row>
    <row r="212" spans="1:11" x14ac:dyDescent="0.35">
      <c r="A212" s="2" t="s">
        <v>438</v>
      </c>
      <c r="B212" s="4" t="s">
        <v>325</v>
      </c>
      <c r="C212" s="2" t="s">
        <v>27</v>
      </c>
      <c r="D212" s="2" t="s">
        <v>32</v>
      </c>
      <c r="E212" s="2" t="s">
        <v>17</v>
      </c>
      <c r="F212" s="2">
        <v>36364.18</v>
      </c>
      <c r="G212" s="2">
        <v>7258.35</v>
      </c>
      <c r="H212" s="2">
        <v>16</v>
      </c>
      <c r="I212" s="2">
        <f t="shared" si="9"/>
        <v>29105.83</v>
      </c>
      <c r="J212" s="2" t="str">
        <f t="shared" si="10"/>
        <v>December</v>
      </c>
      <c r="K212" s="9">
        <f t="shared" si="11"/>
        <v>0.80039835904453227</v>
      </c>
    </row>
    <row r="213" spans="1:11" x14ac:dyDescent="0.35">
      <c r="A213" s="2" t="s">
        <v>441</v>
      </c>
      <c r="B213" s="4" t="s">
        <v>442</v>
      </c>
      <c r="C213" s="2" t="s">
        <v>10</v>
      </c>
      <c r="D213" s="2" t="s">
        <v>32</v>
      </c>
      <c r="E213" s="2" t="s">
        <v>12</v>
      </c>
      <c r="F213" s="2">
        <v>16065.58</v>
      </c>
      <c r="G213" s="2">
        <v>1906.4</v>
      </c>
      <c r="H213" s="2">
        <v>18</v>
      </c>
      <c r="I213" s="2">
        <f t="shared" si="9"/>
        <v>14159.18</v>
      </c>
      <c r="J213" s="2" t="str">
        <f t="shared" si="10"/>
        <v>October</v>
      </c>
      <c r="K213" s="9">
        <f t="shared" si="11"/>
        <v>0.8813363725430392</v>
      </c>
    </row>
    <row r="214" spans="1:11" x14ac:dyDescent="0.35">
      <c r="A214" s="2" t="s">
        <v>443</v>
      </c>
      <c r="B214" s="4" t="s">
        <v>444</v>
      </c>
      <c r="C214" s="2" t="s">
        <v>27</v>
      </c>
      <c r="D214" s="2" t="s">
        <v>32</v>
      </c>
      <c r="E214" s="2" t="s">
        <v>12</v>
      </c>
      <c r="F214" s="2">
        <v>12711.71</v>
      </c>
      <c r="G214" s="2">
        <v>3206.35</v>
      </c>
      <c r="H214" s="2">
        <v>8</v>
      </c>
      <c r="I214" s="2">
        <f t="shared" si="9"/>
        <v>9505.3599999999988</v>
      </c>
      <c r="J214" s="2" t="str">
        <f t="shared" si="10"/>
        <v>August</v>
      </c>
      <c r="K214" s="9">
        <f t="shared" si="11"/>
        <v>0.74776406950756424</v>
      </c>
    </row>
    <row r="215" spans="1:11" x14ac:dyDescent="0.35">
      <c r="A215" s="2" t="s">
        <v>445</v>
      </c>
      <c r="B215" s="4" t="s">
        <v>348</v>
      </c>
      <c r="C215" s="2" t="s">
        <v>31</v>
      </c>
      <c r="D215" s="2" t="s">
        <v>32</v>
      </c>
      <c r="E215" s="2" t="s">
        <v>17</v>
      </c>
      <c r="F215" s="2">
        <v>36732.959999999999</v>
      </c>
      <c r="G215" s="2">
        <v>5448.39</v>
      </c>
      <c r="H215" s="2">
        <v>1</v>
      </c>
      <c r="I215" s="2">
        <f t="shared" si="9"/>
        <v>31284.57</v>
      </c>
      <c r="J215" s="2" t="str">
        <f t="shared" si="10"/>
        <v>April</v>
      </c>
      <c r="K215" s="9">
        <f t="shared" si="11"/>
        <v>0.85167571576045054</v>
      </c>
    </row>
    <row r="216" spans="1:11" x14ac:dyDescent="0.35">
      <c r="A216" s="2" t="s">
        <v>446</v>
      </c>
      <c r="B216" s="4" t="s">
        <v>447</v>
      </c>
      <c r="C216" s="2" t="s">
        <v>27</v>
      </c>
      <c r="D216" s="2" t="s">
        <v>32</v>
      </c>
      <c r="E216" s="2" t="s">
        <v>12</v>
      </c>
      <c r="F216" s="2">
        <v>5830.72</v>
      </c>
      <c r="G216" s="2">
        <v>370.47</v>
      </c>
      <c r="H216" s="2">
        <v>8</v>
      </c>
      <c r="I216" s="2">
        <f t="shared" si="9"/>
        <v>5460.25</v>
      </c>
      <c r="J216" s="2" t="str">
        <f t="shared" si="10"/>
        <v>August</v>
      </c>
      <c r="K216" s="9">
        <f t="shared" si="11"/>
        <v>0.93646239229460504</v>
      </c>
    </row>
    <row r="217" spans="1:11" x14ac:dyDescent="0.35">
      <c r="A217" s="2" t="s">
        <v>457</v>
      </c>
      <c r="B217" s="4" t="s">
        <v>215</v>
      </c>
      <c r="C217" s="2" t="s">
        <v>10</v>
      </c>
      <c r="D217" s="2" t="s">
        <v>32</v>
      </c>
      <c r="E217" s="2" t="s">
        <v>12</v>
      </c>
      <c r="F217" s="2">
        <v>2212.91</v>
      </c>
      <c r="G217" s="2">
        <v>642.46</v>
      </c>
      <c r="H217" s="2">
        <v>15</v>
      </c>
      <c r="I217" s="2">
        <f t="shared" si="9"/>
        <v>1570.4499999999998</v>
      </c>
      <c r="J217" s="2" t="str">
        <f t="shared" si="10"/>
        <v>October</v>
      </c>
      <c r="K217" s="9">
        <f t="shared" si="11"/>
        <v>0.70967639894979906</v>
      </c>
    </row>
    <row r="218" spans="1:11" x14ac:dyDescent="0.35">
      <c r="A218" s="2" t="s">
        <v>459</v>
      </c>
      <c r="B218" s="4" t="s">
        <v>56</v>
      </c>
      <c r="C218" s="2" t="s">
        <v>15</v>
      </c>
      <c r="D218" s="2" t="s">
        <v>32</v>
      </c>
      <c r="E218" s="2" t="s">
        <v>21</v>
      </c>
      <c r="F218" s="2">
        <v>22712.09</v>
      </c>
      <c r="G218" s="2">
        <v>6450.68</v>
      </c>
      <c r="H218" s="2">
        <v>5</v>
      </c>
      <c r="I218" s="2">
        <f t="shared" si="9"/>
        <v>16261.41</v>
      </c>
      <c r="J218" s="2" t="str">
        <f t="shared" si="10"/>
        <v>January</v>
      </c>
      <c r="K218" s="9">
        <f t="shared" si="11"/>
        <v>0.71598034350867756</v>
      </c>
    </row>
    <row r="219" spans="1:11" x14ac:dyDescent="0.35">
      <c r="A219" s="2" t="s">
        <v>466</v>
      </c>
      <c r="B219" s="4" t="s">
        <v>187</v>
      </c>
      <c r="C219" s="2" t="s">
        <v>31</v>
      </c>
      <c r="D219" s="2" t="s">
        <v>32</v>
      </c>
      <c r="E219" s="2" t="s">
        <v>21</v>
      </c>
      <c r="F219" s="2">
        <v>10402.86</v>
      </c>
      <c r="G219" s="2">
        <v>652.96</v>
      </c>
      <c r="H219" s="2">
        <v>7</v>
      </c>
      <c r="I219" s="2">
        <f t="shared" si="9"/>
        <v>9749.9000000000015</v>
      </c>
      <c r="J219" s="2" t="str">
        <f t="shared" si="10"/>
        <v>March</v>
      </c>
      <c r="K219" s="9">
        <f t="shared" si="11"/>
        <v>0.93723264563783426</v>
      </c>
    </row>
    <row r="220" spans="1:11" x14ac:dyDescent="0.35">
      <c r="A220" s="2" t="s">
        <v>467</v>
      </c>
      <c r="B220" s="4" t="s">
        <v>372</v>
      </c>
      <c r="C220" s="2" t="s">
        <v>15</v>
      </c>
      <c r="D220" s="2" t="s">
        <v>32</v>
      </c>
      <c r="E220" s="2" t="s">
        <v>17</v>
      </c>
      <c r="F220" s="2">
        <v>6274.34</v>
      </c>
      <c r="G220" s="2">
        <v>1209.33</v>
      </c>
      <c r="H220" s="2">
        <v>6</v>
      </c>
      <c r="I220" s="2">
        <f t="shared" si="9"/>
        <v>5065.01</v>
      </c>
      <c r="J220" s="2" t="str">
        <f t="shared" si="10"/>
        <v>August</v>
      </c>
      <c r="K220" s="9">
        <f t="shared" si="11"/>
        <v>0.80725781516462292</v>
      </c>
    </row>
    <row r="221" spans="1:11" x14ac:dyDescent="0.35">
      <c r="A221" s="2" t="s">
        <v>468</v>
      </c>
      <c r="B221" s="4" t="s">
        <v>208</v>
      </c>
      <c r="C221" s="2" t="s">
        <v>15</v>
      </c>
      <c r="D221" s="2" t="s">
        <v>32</v>
      </c>
      <c r="E221" s="2" t="s">
        <v>21</v>
      </c>
      <c r="F221" s="2">
        <v>49654.91</v>
      </c>
      <c r="G221" s="2">
        <v>7975.95</v>
      </c>
      <c r="H221" s="2">
        <v>11</v>
      </c>
      <c r="I221" s="2">
        <f t="shared" si="9"/>
        <v>41678.960000000006</v>
      </c>
      <c r="J221" s="2" t="str">
        <f t="shared" si="10"/>
        <v>April</v>
      </c>
      <c r="K221" s="9">
        <f t="shared" si="11"/>
        <v>0.83937238029431538</v>
      </c>
    </row>
    <row r="222" spans="1:11" x14ac:dyDescent="0.35">
      <c r="A222" s="2" t="s">
        <v>485</v>
      </c>
      <c r="B222" s="4" t="s">
        <v>130</v>
      </c>
      <c r="C222" s="2" t="s">
        <v>15</v>
      </c>
      <c r="D222" s="2" t="s">
        <v>32</v>
      </c>
      <c r="E222" s="2" t="s">
        <v>21</v>
      </c>
      <c r="F222" s="2">
        <v>21479.81</v>
      </c>
      <c r="G222" s="2">
        <v>6000.05</v>
      </c>
      <c r="H222" s="2">
        <v>9</v>
      </c>
      <c r="I222" s="2">
        <f t="shared" si="9"/>
        <v>15479.760000000002</v>
      </c>
      <c r="J222" s="2" t="str">
        <f t="shared" si="10"/>
        <v>August</v>
      </c>
      <c r="K222" s="9">
        <f t="shared" si="11"/>
        <v>0.72066559247963557</v>
      </c>
    </row>
    <row r="223" spans="1:11" x14ac:dyDescent="0.35">
      <c r="A223" s="2" t="s">
        <v>492</v>
      </c>
      <c r="B223" s="4" t="s">
        <v>317</v>
      </c>
      <c r="C223" s="2" t="s">
        <v>27</v>
      </c>
      <c r="D223" s="2" t="s">
        <v>32</v>
      </c>
      <c r="E223" s="2" t="s">
        <v>12</v>
      </c>
      <c r="F223" s="2">
        <v>29568.799999999999</v>
      </c>
      <c r="G223" s="2">
        <v>4862.53</v>
      </c>
      <c r="H223" s="2">
        <v>4</v>
      </c>
      <c r="I223" s="2">
        <f t="shared" si="9"/>
        <v>24706.27</v>
      </c>
      <c r="J223" s="2" t="str">
        <f t="shared" si="10"/>
        <v>July</v>
      </c>
      <c r="K223" s="9">
        <f t="shared" si="11"/>
        <v>0.83555200075755531</v>
      </c>
    </row>
    <row r="224" spans="1:11" x14ac:dyDescent="0.35">
      <c r="A224" s="2" t="s">
        <v>506</v>
      </c>
      <c r="B224" s="4" t="s">
        <v>72</v>
      </c>
      <c r="C224" s="2" t="s">
        <v>27</v>
      </c>
      <c r="D224" s="2" t="s">
        <v>32</v>
      </c>
      <c r="E224" s="2" t="s">
        <v>12</v>
      </c>
      <c r="F224" s="2">
        <v>17091.099999999999</v>
      </c>
      <c r="G224" s="2">
        <v>3829.15</v>
      </c>
      <c r="H224" s="2">
        <v>6</v>
      </c>
      <c r="I224" s="2">
        <f t="shared" si="9"/>
        <v>13261.949999999999</v>
      </c>
      <c r="J224" s="2" t="str">
        <f t="shared" si="10"/>
        <v>March</v>
      </c>
      <c r="K224" s="9">
        <f t="shared" si="11"/>
        <v>0.77595649197535554</v>
      </c>
    </row>
    <row r="225" spans="1:11" x14ac:dyDescent="0.35">
      <c r="A225" s="2" t="s">
        <v>512</v>
      </c>
      <c r="B225" s="4" t="s">
        <v>54</v>
      </c>
      <c r="C225" s="2" t="s">
        <v>27</v>
      </c>
      <c r="D225" s="2" t="s">
        <v>32</v>
      </c>
      <c r="E225" s="2" t="s">
        <v>12</v>
      </c>
      <c r="F225" s="2">
        <v>31366.65</v>
      </c>
      <c r="G225" s="2">
        <v>7458.9</v>
      </c>
      <c r="H225" s="2">
        <v>14</v>
      </c>
      <c r="I225" s="2">
        <f t="shared" si="9"/>
        <v>23907.75</v>
      </c>
      <c r="J225" s="2" t="str">
        <f t="shared" si="10"/>
        <v>January</v>
      </c>
      <c r="K225" s="9">
        <f t="shared" si="11"/>
        <v>0.76220284920448944</v>
      </c>
    </row>
    <row r="226" spans="1:11" x14ac:dyDescent="0.35">
      <c r="A226" s="2" t="s">
        <v>516</v>
      </c>
      <c r="B226" s="4" t="s">
        <v>517</v>
      </c>
      <c r="C226" s="2" t="s">
        <v>10</v>
      </c>
      <c r="D226" s="2" t="s">
        <v>32</v>
      </c>
      <c r="E226" s="2" t="s">
        <v>17</v>
      </c>
      <c r="F226" s="2">
        <v>35922.699999999997</v>
      </c>
      <c r="G226" s="2">
        <v>9324.59</v>
      </c>
      <c r="H226" s="2">
        <v>16</v>
      </c>
      <c r="I226" s="2">
        <f t="shared" si="9"/>
        <v>26598.109999999997</v>
      </c>
      <c r="J226" s="2" t="str">
        <f t="shared" si="10"/>
        <v>January</v>
      </c>
      <c r="K226" s="9">
        <f t="shared" si="11"/>
        <v>0.7404262485837646</v>
      </c>
    </row>
    <row r="227" spans="1:11" x14ac:dyDescent="0.35">
      <c r="A227" s="2" t="s">
        <v>528</v>
      </c>
      <c r="B227" s="4" t="s">
        <v>172</v>
      </c>
      <c r="C227" s="2" t="s">
        <v>27</v>
      </c>
      <c r="D227" s="2" t="s">
        <v>32</v>
      </c>
      <c r="E227" s="2" t="s">
        <v>12</v>
      </c>
      <c r="F227" s="2">
        <v>19248.16</v>
      </c>
      <c r="G227" s="2">
        <v>2010.77</v>
      </c>
      <c r="H227" s="2">
        <v>2</v>
      </c>
      <c r="I227" s="2">
        <f t="shared" si="9"/>
        <v>17237.39</v>
      </c>
      <c r="J227" s="2" t="str">
        <f t="shared" si="10"/>
        <v>August</v>
      </c>
      <c r="K227" s="9">
        <f t="shared" si="11"/>
        <v>0.89553443030398749</v>
      </c>
    </row>
    <row r="228" spans="1:11" x14ac:dyDescent="0.35">
      <c r="A228" s="2" t="s">
        <v>530</v>
      </c>
      <c r="B228" s="4" t="s">
        <v>531</v>
      </c>
      <c r="C228" s="2" t="s">
        <v>10</v>
      </c>
      <c r="D228" s="2" t="s">
        <v>32</v>
      </c>
      <c r="E228" s="2" t="s">
        <v>12</v>
      </c>
      <c r="F228" s="2">
        <v>21811.86</v>
      </c>
      <c r="G228" s="2">
        <v>2316.3000000000002</v>
      </c>
      <c r="H228" s="2">
        <v>1</v>
      </c>
      <c r="I228" s="2">
        <f t="shared" si="9"/>
        <v>19495.560000000001</v>
      </c>
      <c r="J228" s="2" t="str">
        <f t="shared" si="10"/>
        <v>March</v>
      </c>
      <c r="K228" s="9">
        <f t="shared" si="11"/>
        <v>0.89380548013786998</v>
      </c>
    </row>
    <row r="229" spans="1:11" x14ac:dyDescent="0.35">
      <c r="A229" s="2" t="s">
        <v>536</v>
      </c>
      <c r="B229" s="4" t="s">
        <v>537</v>
      </c>
      <c r="C229" s="2" t="s">
        <v>15</v>
      </c>
      <c r="D229" s="2" t="s">
        <v>32</v>
      </c>
      <c r="E229" s="2" t="s">
        <v>21</v>
      </c>
      <c r="F229" s="2">
        <v>6145.37</v>
      </c>
      <c r="G229" s="2">
        <v>1286.8699999999999</v>
      </c>
      <c r="H229" s="2">
        <v>5</v>
      </c>
      <c r="I229" s="2">
        <f t="shared" si="9"/>
        <v>4858.5</v>
      </c>
      <c r="J229" s="2" t="str">
        <f t="shared" si="10"/>
        <v>September</v>
      </c>
      <c r="K229" s="9">
        <f t="shared" si="11"/>
        <v>0.79059519605817064</v>
      </c>
    </row>
    <row r="230" spans="1:11" x14ac:dyDescent="0.35">
      <c r="A230" s="2" t="s">
        <v>553</v>
      </c>
      <c r="B230" s="4" t="s">
        <v>554</v>
      </c>
      <c r="C230" s="2" t="s">
        <v>10</v>
      </c>
      <c r="D230" s="2" t="s">
        <v>32</v>
      </c>
      <c r="E230" s="2" t="s">
        <v>17</v>
      </c>
      <c r="F230" s="2">
        <v>11164.69</v>
      </c>
      <c r="G230" s="2">
        <v>2978.09</v>
      </c>
      <c r="H230" s="2">
        <v>15</v>
      </c>
      <c r="I230" s="2">
        <f t="shared" si="9"/>
        <v>8186.6</v>
      </c>
      <c r="J230" s="2" t="str">
        <f t="shared" si="10"/>
        <v>April</v>
      </c>
      <c r="K230" s="9">
        <f t="shared" si="11"/>
        <v>0.73325815584669163</v>
      </c>
    </row>
    <row r="231" spans="1:11" x14ac:dyDescent="0.35">
      <c r="A231" s="2" t="s">
        <v>571</v>
      </c>
      <c r="B231" s="4" t="s">
        <v>572</v>
      </c>
      <c r="C231" s="2" t="s">
        <v>31</v>
      </c>
      <c r="D231" s="2" t="s">
        <v>32</v>
      </c>
      <c r="E231" s="2" t="s">
        <v>21</v>
      </c>
      <c r="F231" s="2">
        <v>27799.3</v>
      </c>
      <c r="G231" s="2">
        <v>5798.51</v>
      </c>
      <c r="H231" s="2">
        <v>4</v>
      </c>
      <c r="I231" s="2">
        <f t="shared" si="9"/>
        <v>22000.79</v>
      </c>
      <c r="J231" s="2" t="str">
        <f t="shared" si="10"/>
        <v>March</v>
      </c>
      <c r="K231" s="9">
        <f t="shared" si="11"/>
        <v>0.79141525146316638</v>
      </c>
    </row>
    <row r="232" spans="1:11" x14ac:dyDescent="0.35">
      <c r="A232" s="2" t="s">
        <v>582</v>
      </c>
      <c r="B232" s="4" t="s">
        <v>34</v>
      </c>
      <c r="C232" s="2" t="s">
        <v>27</v>
      </c>
      <c r="D232" s="2" t="s">
        <v>32</v>
      </c>
      <c r="E232" s="2" t="s">
        <v>12</v>
      </c>
      <c r="F232" s="2">
        <v>20202.55</v>
      </c>
      <c r="G232" s="2">
        <v>1236.27</v>
      </c>
      <c r="H232" s="2">
        <v>1</v>
      </c>
      <c r="I232" s="2">
        <f t="shared" si="9"/>
        <v>18966.28</v>
      </c>
      <c r="J232" s="2" t="str">
        <f t="shared" si="10"/>
        <v>October</v>
      </c>
      <c r="K232" s="9">
        <f t="shared" si="11"/>
        <v>0.93880623980636102</v>
      </c>
    </row>
    <row r="233" spans="1:11" x14ac:dyDescent="0.35">
      <c r="A233" s="2" t="s">
        <v>584</v>
      </c>
      <c r="B233" s="4" t="s">
        <v>236</v>
      </c>
      <c r="C233" s="2" t="s">
        <v>31</v>
      </c>
      <c r="D233" s="2" t="s">
        <v>32</v>
      </c>
      <c r="E233" s="2" t="s">
        <v>21</v>
      </c>
      <c r="F233" s="2">
        <v>41015.480000000003</v>
      </c>
      <c r="G233" s="2">
        <v>4768.71</v>
      </c>
      <c r="H233" s="2">
        <v>15</v>
      </c>
      <c r="I233" s="2">
        <f t="shared" si="9"/>
        <v>36246.770000000004</v>
      </c>
      <c r="J233" s="2" t="str">
        <f t="shared" si="10"/>
        <v>July</v>
      </c>
      <c r="K233" s="9">
        <f t="shared" si="11"/>
        <v>0.88373389754307397</v>
      </c>
    </row>
    <row r="234" spans="1:11" x14ac:dyDescent="0.35">
      <c r="A234" s="2" t="s">
        <v>590</v>
      </c>
      <c r="B234" s="4" t="s">
        <v>341</v>
      </c>
      <c r="C234" s="2" t="s">
        <v>10</v>
      </c>
      <c r="D234" s="2" t="s">
        <v>32</v>
      </c>
      <c r="E234" s="2" t="s">
        <v>21</v>
      </c>
      <c r="F234" s="2">
        <v>9956.89</v>
      </c>
      <c r="G234" s="2">
        <v>2550.6999999999998</v>
      </c>
      <c r="H234" s="2">
        <v>14</v>
      </c>
      <c r="I234" s="2">
        <f t="shared" si="9"/>
        <v>7406.19</v>
      </c>
      <c r="J234" s="2" t="str">
        <f t="shared" si="10"/>
        <v>October</v>
      </c>
      <c r="K234" s="9">
        <f t="shared" si="11"/>
        <v>0.74382563230084897</v>
      </c>
    </row>
    <row r="235" spans="1:11" x14ac:dyDescent="0.35">
      <c r="A235" s="2" t="s">
        <v>593</v>
      </c>
      <c r="B235" s="4" t="s">
        <v>594</v>
      </c>
      <c r="C235" s="2" t="s">
        <v>15</v>
      </c>
      <c r="D235" s="2" t="s">
        <v>32</v>
      </c>
      <c r="E235" s="2" t="s">
        <v>21</v>
      </c>
      <c r="F235" s="2">
        <v>10645.85</v>
      </c>
      <c r="G235" s="2">
        <v>1046.3900000000001</v>
      </c>
      <c r="H235" s="2">
        <v>13</v>
      </c>
      <c r="I235" s="2">
        <f t="shared" si="9"/>
        <v>9599.4600000000009</v>
      </c>
      <c r="J235" s="2" t="str">
        <f t="shared" si="10"/>
        <v>February</v>
      </c>
      <c r="K235" s="9">
        <f t="shared" si="11"/>
        <v>0.90170911669805609</v>
      </c>
    </row>
    <row r="236" spans="1:11" x14ac:dyDescent="0.35">
      <c r="A236" s="2" t="s">
        <v>612</v>
      </c>
      <c r="B236" s="4" t="s">
        <v>613</v>
      </c>
      <c r="C236" s="2" t="s">
        <v>15</v>
      </c>
      <c r="D236" s="2" t="s">
        <v>32</v>
      </c>
      <c r="E236" s="2" t="s">
        <v>17</v>
      </c>
      <c r="F236" s="2">
        <v>33352.480000000003</v>
      </c>
      <c r="G236" s="2">
        <v>9896.94</v>
      </c>
      <c r="H236" s="2">
        <v>9</v>
      </c>
      <c r="I236" s="2">
        <f t="shared" si="9"/>
        <v>23455.54</v>
      </c>
      <c r="J236" s="2" t="str">
        <f t="shared" si="10"/>
        <v>April</v>
      </c>
      <c r="K236" s="9">
        <f t="shared" si="11"/>
        <v>0.70326224616580235</v>
      </c>
    </row>
    <row r="237" spans="1:11" x14ac:dyDescent="0.35">
      <c r="A237" s="2" t="s">
        <v>626</v>
      </c>
      <c r="B237" s="4" t="s">
        <v>321</v>
      </c>
      <c r="C237" s="2" t="s">
        <v>27</v>
      </c>
      <c r="D237" s="2" t="s">
        <v>32</v>
      </c>
      <c r="E237" s="2" t="s">
        <v>21</v>
      </c>
      <c r="F237" s="2">
        <v>6969.07</v>
      </c>
      <c r="G237" s="2">
        <v>1066.7</v>
      </c>
      <c r="H237" s="2">
        <v>10</v>
      </c>
      <c r="I237" s="2">
        <f t="shared" si="9"/>
        <v>5902.37</v>
      </c>
      <c r="J237" s="2" t="str">
        <f t="shared" si="10"/>
        <v>September</v>
      </c>
      <c r="K237" s="9">
        <f t="shared" si="11"/>
        <v>0.84693797020262385</v>
      </c>
    </row>
    <row r="238" spans="1:11" x14ac:dyDescent="0.35">
      <c r="A238" s="2" t="s">
        <v>630</v>
      </c>
      <c r="B238" s="4" t="s">
        <v>422</v>
      </c>
      <c r="C238" s="2" t="s">
        <v>31</v>
      </c>
      <c r="D238" s="2" t="s">
        <v>32</v>
      </c>
      <c r="E238" s="2" t="s">
        <v>21</v>
      </c>
      <c r="F238" s="2">
        <v>15087.89</v>
      </c>
      <c r="G238" s="2">
        <v>4276.2299999999996</v>
      </c>
      <c r="H238" s="2">
        <v>12</v>
      </c>
      <c r="I238" s="2">
        <f t="shared" si="9"/>
        <v>10811.66</v>
      </c>
      <c r="J238" s="2" t="str">
        <f t="shared" si="10"/>
        <v>March</v>
      </c>
      <c r="K238" s="9">
        <f t="shared" si="11"/>
        <v>0.71657866010422933</v>
      </c>
    </row>
    <row r="239" spans="1:11" x14ac:dyDescent="0.35">
      <c r="A239" s="2" t="s">
        <v>644</v>
      </c>
      <c r="B239" s="4" t="s">
        <v>645</v>
      </c>
      <c r="C239" s="2" t="s">
        <v>10</v>
      </c>
      <c r="D239" s="2" t="s">
        <v>32</v>
      </c>
      <c r="E239" s="2" t="s">
        <v>17</v>
      </c>
      <c r="F239" s="2">
        <v>24223.46</v>
      </c>
      <c r="G239" s="2">
        <v>2560.58</v>
      </c>
      <c r="H239" s="2">
        <v>3</v>
      </c>
      <c r="I239" s="2">
        <f t="shared" si="9"/>
        <v>21662.879999999997</v>
      </c>
      <c r="J239" s="2" t="str">
        <f t="shared" si="10"/>
        <v>July</v>
      </c>
      <c r="K239" s="9">
        <f t="shared" si="11"/>
        <v>0.89429338335646513</v>
      </c>
    </row>
    <row r="240" spans="1:11" x14ac:dyDescent="0.35">
      <c r="A240" s="2" t="s">
        <v>647</v>
      </c>
      <c r="B240" s="4" t="s">
        <v>52</v>
      </c>
      <c r="C240" s="2" t="s">
        <v>15</v>
      </c>
      <c r="D240" s="2" t="s">
        <v>32</v>
      </c>
      <c r="E240" s="2" t="s">
        <v>12</v>
      </c>
      <c r="F240" s="2">
        <v>19773.7</v>
      </c>
      <c r="G240" s="2">
        <v>2080.46</v>
      </c>
      <c r="H240" s="2">
        <v>1</v>
      </c>
      <c r="I240" s="2">
        <f t="shared" si="9"/>
        <v>17693.240000000002</v>
      </c>
      <c r="J240" s="2" t="str">
        <f t="shared" si="10"/>
        <v>March</v>
      </c>
      <c r="K240" s="9">
        <f t="shared" si="11"/>
        <v>0.89478650935333304</v>
      </c>
    </row>
    <row r="241" spans="1:11" x14ac:dyDescent="0.35">
      <c r="A241" s="2" t="s">
        <v>651</v>
      </c>
      <c r="B241" s="4" t="s">
        <v>404</v>
      </c>
      <c r="C241" s="2" t="s">
        <v>10</v>
      </c>
      <c r="D241" s="2" t="s">
        <v>32</v>
      </c>
      <c r="E241" s="2" t="s">
        <v>21</v>
      </c>
      <c r="F241" s="2">
        <v>29264.52</v>
      </c>
      <c r="G241" s="2">
        <v>8773.6</v>
      </c>
      <c r="H241" s="2">
        <v>19</v>
      </c>
      <c r="I241" s="2">
        <f t="shared" si="9"/>
        <v>20490.919999999998</v>
      </c>
      <c r="J241" s="2" t="str">
        <f t="shared" si="10"/>
        <v>December</v>
      </c>
      <c r="K241" s="9">
        <f t="shared" si="11"/>
        <v>0.70019668868650498</v>
      </c>
    </row>
    <row r="242" spans="1:11" x14ac:dyDescent="0.35">
      <c r="A242" s="2" t="s">
        <v>673</v>
      </c>
      <c r="B242" s="4" t="s">
        <v>674</v>
      </c>
      <c r="C242" s="2" t="s">
        <v>27</v>
      </c>
      <c r="D242" s="2" t="s">
        <v>32</v>
      </c>
      <c r="E242" s="2" t="s">
        <v>17</v>
      </c>
      <c r="F242" s="2">
        <v>1635.49</v>
      </c>
      <c r="G242" s="2">
        <v>373.06</v>
      </c>
      <c r="H242" s="2">
        <v>8</v>
      </c>
      <c r="I242" s="2">
        <f t="shared" si="9"/>
        <v>1262.43</v>
      </c>
      <c r="J242" s="2" t="str">
        <f t="shared" si="10"/>
        <v>January</v>
      </c>
      <c r="K242" s="9">
        <f t="shared" si="11"/>
        <v>0.77189710728894712</v>
      </c>
    </row>
    <row r="243" spans="1:11" x14ac:dyDescent="0.35">
      <c r="A243" s="2" t="s">
        <v>677</v>
      </c>
      <c r="B243" s="4" t="s">
        <v>650</v>
      </c>
      <c r="C243" s="2" t="s">
        <v>10</v>
      </c>
      <c r="D243" s="2" t="s">
        <v>32</v>
      </c>
      <c r="E243" s="2" t="s">
        <v>17</v>
      </c>
      <c r="F243" s="2">
        <v>9698.23</v>
      </c>
      <c r="G243" s="2">
        <v>1386</v>
      </c>
      <c r="H243" s="2">
        <v>2</v>
      </c>
      <c r="I243" s="2">
        <f t="shared" si="9"/>
        <v>8312.23</v>
      </c>
      <c r="J243" s="2" t="str">
        <f t="shared" si="10"/>
        <v>July</v>
      </c>
      <c r="K243" s="9">
        <f t="shared" si="11"/>
        <v>0.8570873241818352</v>
      </c>
    </row>
    <row r="244" spans="1:11" x14ac:dyDescent="0.35">
      <c r="A244" s="2" t="s">
        <v>700</v>
      </c>
      <c r="B244" s="4" t="s">
        <v>150</v>
      </c>
      <c r="C244" s="2" t="s">
        <v>10</v>
      </c>
      <c r="D244" s="2" t="s">
        <v>32</v>
      </c>
      <c r="E244" s="2" t="s">
        <v>12</v>
      </c>
      <c r="F244" s="2">
        <v>19136.740000000002</v>
      </c>
      <c r="G244" s="2">
        <v>4656.55</v>
      </c>
      <c r="H244" s="2">
        <v>5</v>
      </c>
      <c r="I244" s="2">
        <f t="shared" si="9"/>
        <v>14480.190000000002</v>
      </c>
      <c r="J244" s="2" t="str">
        <f t="shared" si="10"/>
        <v>September</v>
      </c>
      <c r="K244" s="9">
        <f t="shared" si="11"/>
        <v>0.7566696312956126</v>
      </c>
    </row>
    <row r="245" spans="1:11" x14ac:dyDescent="0.35">
      <c r="A245" s="2" t="s">
        <v>708</v>
      </c>
      <c r="B245" s="4" t="s">
        <v>95</v>
      </c>
      <c r="C245" s="2" t="s">
        <v>15</v>
      </c>
      <c r="D245" s="2" t="s">
        <v>32</v>
      </c>
      <c r="E245" s="2" t="s">
        <v>21</v>
      </c>
      <c r="F245" s="2">
        <v>45512.94</v>
      </c>
      <c r="G245" s="2">
        <v>3104.6</v>
      </c>
      <c r="H245" s="2">
        <v>7</v>
      </c>
      <c r="I245" s="2">
        <f t="shared" si="9"/>
        <v>42408.340000000004</v>
      </c>
      <c r="J245" s="2" t="str">
        <f t="shared" si="10"/>
        <v>February</v>
      </c>
      <c r="K245" s="9">
        <f t="shared" si="11"/>
        <v>0.93178643260576011</v>
      </c>
    </row>
    <row r="246" spans="1:11" x14ac:dyDescent="0.35">
      <c r="A246" s="2" t="s">
        <v>709</v>
      </c>
      <c r="B246" s="4" t="s">
        <v>204</v>
      </c>
      <c r="C246" s="2" t="s">
        <v>27</v>
      </c>
      <c r="D246" s="2" t="s">
        <v>32</v>
      </c>
      <c r="E246" s="2" t="s">
        <v>12</v>
      </c>
      <c r="F246" s="2">
        <v>26667.54</v>
      </c>
      <c r="G246" s="2">
        <v>5041.0600000000004</v>
      </c>
      <c r="H246" s="2">
        <v>6</v>
      </c>
      <c r="I246" s="2">
        <f t="shared" si="9"/>
        <v>21626.48</v>
      </c>
      <c r="J246" s="2" t="str">
        <f t="shared" si="10"/>
        <v>December</v>
      </c>
      <c r="K246" s="9">
        <f t="shared" si="11"/>
        <v>0.81096644084906211</v>
      </c>
    </row>
    <row r="247" spans="1:11" x14ac:dyDescent="0.35">
      <c r="A247" s="2" t="s">
        <v>730</v>
      </c>
      <c r="B247" s="4" t="s">
        <v>731</v>
      </c>
      <c r="C247" s="2" t="s">
        <v>31</v>
      </c>
      <c r="D247" s="2" t="s">
        <v>32</v>
      </c>
      <c r="E247" s="2" t="s">
        <v>17</v>
      </c>
      <c r="F247" s="2">
        <v>29387.54</v>
      </c>
      <c r="G247" s="2">
        <v>5612.94</v>
      </c>
      <c r="H247" s="2">
        <v>12</v>
      </c>
      <c r="I247" s="2">
        <f t="shared" si="9"/>
        <v>23774.600000000002</v>
      </c>
      <c r="J247" s="2" t="str">
        <f t="shared" si="10"/>
        <v>February</v>
      </c>
      <c r="K247" s="9">
        <f t="shared" si="11"/>
        <v>0.80900272700607134</v>
      </c>
    </row>
    <row r="248" spans="1:11" x14ac:dyDescent="0.35">
      <c r="A248" s="2" t="s">
        <v>732</v>
      </c>
      <c r="B248" s="4" t="s">
        <v>260</v>
      </c>
      <c r="C248" s="2" t="s">
        <v>27</v>
      </c>
      <c r="D248" s="2" t="s">
        <v>32</v>
      </c>
      <c r="E248" s="2" t="s">
        <v>12</v>
      </c>
      <c r="F248" s="2">
        <v>32591.599999999999</v>
      </c>
      <c r="G248" s="2">
        <v>3575.28</v>
      </c>
      <c r="H248" s="2">
        <v>2</v>
      </c>
      <c r="I248" s="2">
        <f t="shared" si="9"/>
        <v>29016.32</v>
      </c>
      <c r="J248" s="2" t="str">
        <f t="shared" si="10"/>
        <v>December</v>
      </c>
      <c r="K248" s="9">
        <f t="shared" si="11"/>
        <v>0.89030056824457837</v>
      </c>
    </row>
    <row r="249" spans="1:11" x14ac:dyDescent="0.35">
      <c r="A249" s="2" t="s">
        <v>748</v>
      </c>
      <c r="B249" s="4" t="s">
        <v>749</v>
      </c>
      <c r="C249" s="2" t="s">
        <v>10</v>
      </c>
      <c r="D249" s="2" t="s">
        <v>32</v>
      </c>
      <c r="E249" s="2" t="s">
        <v>21</v>
      </c>
      <c r="F249" s="2">
        <v>6240.77</v>
      </c>
      <c r="G249" s="2">
        <v>1069.31</v>
      </c>
      <c r="H249" s="2">
        <v>9</v>
      </c>
      <c r="I249" s="2">
        <f t="shared" si="9"/>
        <v>5171.4600000000009</v>
      </c>
      <c r="J249" s="2" t="str">
        <f t="shared" si="10"/>
        <v>February</v>
      </c>
      <c r="K249" s="9">
        <f t="shared" si="11"/>
        <v>0.82865736119100697</v>
      </c>
    </row>
    <row r="250" spans="1:11" x14ac:dyDescent="0.35">
      <c r="A250" s="2" t="s">
        <v>751</v>
      </c>
      <c r="B250" s="4" t="s">
        <v>119</v>
      </c>
      <c r="C250" s="2" t="s">
        <v>15</v>
      </c>
      <c r="D250" s="2" t="s">
        <v>32</v>
      </c>
      <c r="E250" s="2" t="s">
        <v>12</v>
      </c>
      <c r="F250" s="2">
        <v>18886.810000000001</v>
      </c>
      <c r="G250" s="2">
        <v>1457.38</v>
      </c>
      <c r="H250" s="2">
        <v>9</v>
      </c>
      <c r="I250" s="2">
        <f t="shared" si="9"/>
        <v>17429.43</v>
      </c>
      <c r="J250" s="2" t="str">
        <f t="shared" si="10"/>
        <v>October</v>
      </c>
      <c r="K250" s="9">
        <f t="shared" si="11"/>
        <v>0.92283609566676417</v>
      </c>
    </row>
    <row r="251" spans="1:11" x14ac:dyDescent="0.35">
      <c r="A251" s="2" t="s">
        <v>752</v>
      </c>
      <c r="B251" s="4" t="s">
        <v>662</v>
      </c>
      <c r="C251" s="2" t="s">
        <v>31</v>
      </c>
      <c r="D251" s="2" t="s">
        <v>32</v>
      </c>
      <c r="E251" s="2" t="s">
        <v>12</v>
      </c>
      <c r="F251" s="2">
        <v>15884.71</v>
      </c>
      <c r="G251" s="2">
        <v>2385.1</v>
      </c>
      <c r="H251" s="2">
        <v>7</v>
      </c>
      <c r="I251" s="2">
        <f t="shared" si="9"/>
        <v>13499.609999999999</v>
      </c>
      <c r="J251" s="2" t="str">
        <f t="shared" si="10"/>
        <v>October</v>
      </c>
      <c r="K251" s="9">
        <f t="shared" si="11"/>
        <v>0.84984932051010054</v>
      </c>
    </row>
    <row r="252" spans="1:11" x14ac:dyDescent="0.35">
      <c r="A252" s="2" t="s">
        <v>756</v>
      </c>
      <c r="B252" s="4" t="s">
        <v>58</v>
      </c>
      <c r="C252" s="2" t="s">
        <v>15</v>
      </c>
      <c r="D252" s="2" t="s">
        <v>32</v>
      </c>
      <c r="E252" s="2" t="s">
        <v>21</v>
      </c>
      <c r="F252" s="2">
        <v>34364.800000000003</v>
      </c>
      <c r="G252" s="2">
        <v>7003.77</v>
      </c>
      <c r="H252" s="2">
        <v>9</v>
      </c>
      <c r="I252" s="2">
        <f t="shared" si="9"/>
        <v>27361.030000000002</v>
      </c>
      <c r="J252" s="2" t="str">
        <f t="shared" si="10"/>
        <v>March</v>
      </c>
      <c r="K252" s="9">
        <f t="shared" si="11"/>
        <v>0.79619348868609741</v>
      </c>
    </row>
    <row r="253" spans="1:11" x14ac:dyDescent="0.35">
      <c r="A253" s="2" t="s">
        <v>759</v>
      </c>
      <c r="B253" s="4" t="s">
        <v>604</v>
      </c>
      <c r="C253" s="2" t="s">
        <v>15</v>
      </c>
      <c r="D253" s="2" t="s">
        <v>32</v>
      </c>
      <c r="E253" s="2" t="s">
        <v>17</v>
      </c>
      <c r="F253" s="2">
        <v>18918.68</v>
      </c>
      <c r="G253" s="2">
        <v>2054.11</v>
      </c>
      <c r="H253" s="2">
        <v>3</v>
      </c>
      <c r="I253" s="2">
        <f t="shared" si="9"/>
        <v>16864.57</v>
      </c>
      <c r="J253" s="2" t="str">
        <f t="shared" si="10"/>
        <v>October</v>
      </c>
      <c r="K253" s="9">
        <f t="shared" si="11"/>
        <v>0.89142424312901325</v>
      </c>
    </row>
    <row r="254" spans="1:11" x14ac:dyDescent="0.35">
      <c r="A254" s="2" t="s">
        <v>765</v>
      </c>
      <c r="B254" s="4" t="s">
        <v>766</v>
      </c>
      <c r="C254" s="2" t="s">
        <v>31</v>
      </c>
      <c r="D254" s="2" t="s">
        <v>32</v>
      </c>
      <c r="E254" s="2" t="s">
        <v>17</v>
      </c>
      <c r="F254" s="2">
        <v>40070.370000000003</v>
      </c>
      <c r="G254" s="2">
        <v>6943.45</v>
      </c>
      <c r="H254" s="2">
        <v>9</v>
      </c>
      <c r="I254" s="2">
        <f t="shared" si="9"/>
        <v>33126.920000000006</v>
      </c>
      <c r="J254" s="2" t="str">
        <f t="shared" si="10"/>
        <v>October</v>
      </c>
      <c r="K254" s="9">
        <f t="shared" si="11"/>
        <v>0.82671859531119885</v>
      </c>
    </row>
    <row r="255" spans="1:11" x14ac:dyDescent="0.35">
      <c r="A255" s="2" t="s">
        <v>772</v>
      </c>
      <c r="B255" s="4" t="s">
        <v>323</v>
      </c>
      <c r="C255" s="2" t="s">
        <v>15</v>
      </c>
      <c r="D255" s="2" t="s">
        <v>32</v>
      </c>
      <c r="E255" s="2" t="s">
        <v>12</v>
      </c>
      <c r="F255" s="2">
        <v>45584.92</v>
      </c>
      <c r="G255" s="2">
        <v>10429.59</v>
      </c>
      <c r="H255" s="2">
        <v>2</v>
      </c>
      <c r="I255" s="2">
        <f t="shared" si="9"/>
        <v>35155.33</v>
      </c>
      <c r="J255" s="2" t="str">
        <f t="shared" si="10"/>
        <v>June</v>
      </c>
      <c r="K255" s="9">
        <f t="shared" si="11"/>
        <v>0.77120525823013408</v>
      </c>
    </row>
    <row r="256" spans="1:11" x14ac:dyDescent="0.35">
      <c r="A256" s="2" t="s">
        <v>773</v>
      </c>
      <c r="B256" s="4" t="s">
        <v>774</v>
      </c>
      <c r="C256" s="2" t="s">
        <v>10</v>
      </c>
      <c r="D256" s="2" t="s">
        <v>32</v>
      </c>
      <c r="E256" s="2" t="s">
        <v>12</v>
      </c>
      <c r="F256" s="2">
        <v>16665.38</v>
      </c>
      <c r="G256" s="2">
        <v>4396.72</v>
      </c>
      <c r="H256" s="2">
        <v>10</v>
      </c>
      <c r="I256" s="2">
        <f t="shared" si="9"/>
        <v>12268.66</v>
      </c>
      <c r="J256" s="2" t="str">
        <f t="shared" si="10"/>
        <v>July</v>
      </c>
      <c r="K256" s="9">
        <f t="shared" si="11"/>
        <v>0.73617643282061374</v>
      </c>
    </row>
    <row r="257" spans="1:11" x14ac:dyDescent="0.35">
      <c r="A257" s="2" t="s">
        <v>775</v>
      </c>
      <c r="B257" s="4" t="s">
        <v>776</v>
      </c>
      <c r="C257" s="2" t="s">
        <v>31</v>
      </c>
      <c r="D257" s="2" t="s">
        <v>32</v>
      </c>
      <c r="E257" s="2" t="s">
        <v>12</v>
      </c>
      <c r="F257" s="2">
        <v>2825.35</v>
      </c>
      <c r="G257" s="2">
        <v>605.83000000000004</v>
      </c>
      <c r="H257" s="2">
        <v>16</v>
      </c>
      <c r="I257" s="2">
        <f t="shared" si="9"/>
        <v>2219.52</v>
      </c>
      <c r="J257" s="2" t="str">
        <f t="shared" si="10"/>
        <v>September</v>
      </c>
      <c r="K257" s="9">
        <f t="shared" si="11"/>
        <v>0.7855734687737802</v>
      </c>
    </row>
    <row r="258" spans="1:11" x14ac:dyDescent="0.35">
      <c r="A258" s="2" t="s">
        <v>778</v>
      </c>
      <c r="B258" s="4" t="s">
        <v>60</v>
      </c>
      <c r="C258" s="2" t="s">
        <v>15</v>
      </c>
      <c r="D258" s="2" t="s">
        <v>32</v>
      </c>
      <c r="E258" s="2" t="s">
        <v>21</v>
      </c>
      <c r="F258" s="2">
        <v>17166.29</v>
      </c>
      <c r="G258" s="2">
        <v>2306.5</v>
      </c>
      <c r="H258" s="2">
        <v>5</v>
      </c>
      <c r="I258" s="2">
        <f t="shared" ref="I258:I321" si="12">(F258-G258)</f>
        <v>14859.79</v>
      </c>
      <c r="J258" s="2" t="str">
        <f t="shared" ref="J258:J321" si="13">TEXT(B258,"mmmm")</f>
        <v>October</v>
      </c>
      <c r="K258" s="9">
        <f t="shared" ref="K258:K321" si="14">(F258-G258)/F258</f>
        <v>0.86563782855818006</v>
      </c>
    </row>
    <row r="259" spans="1:11" x14ac:dyDescent="0.35">
      <c r="A259" s="2" t="s">
        <v>782</v>
      </c>
      <c r="B259" s="4" t="s">
        <v>783</v>
      </c>
      <c r="C259" s="2" t="s">
        <v>15</v>
      </c>
      <c r="D259" s="2" t="s">
        <v>32</v>
      </c>
      <c r="E259" s="2" t="s">
        <v>21</v>
      </c>
      <c r="F259" s="2">
        <v>37494.1</v>
      </c>
      <c r="G259" s="2">
        <v>3554.97</v>
      </c>
      <c r="H259" s="2">
        <v>19</v>
      </c>
      <c r="I259" s="2">
        <f t="shared" si="12"/>
        <v>33939.129999999997</v>
      </c>
      <c r="J259" s="2" t="str">
        <f t="shared" si="13"/>
        <v>November</v>
      </c>
      <c r="K259" s="9">
        <f t="shared" si="14"/>
        <v>0.90518588257885901</v>
      </c>
    </row>
    <row r="260" spans="1:11" x14ac:dyDescent="0.35">
      <c r="A260" s="2" t="s">
        <v>785</v>
      </c>
      <c r="B260" s="4" t="s">
        <v>160</v>
      </c>
      <c r="C260" s="2" t="s">
        <v>31</v>
      </c>
      <c r="D260" s="2" t="s">
        <v>32</v>
      </c>
      <c r="E260" s="2" t="s">
        <v>21</v>
      </c>
      <c r="F260" s="2">
        <v>38675.839999999997</v>
      </c>
      <c r="G260" s="2">
        <v>11172.12</v>
      </c>
      <c r="H260" s="2">
        <v>4</v>
      </c>
      <c r="I260" s="2">
        <f t="shared" si="12"/>
        <v>27503.719999999994</v>
      </c>
      <c r="J260" s="2" t="str">
        <f t="shared" si="13"/>
        <v>March</v>
      </c>
      <c r="K260" s="9">
        <f t="shared" si="14"/>
        <v>0.7111343929440187</v>
      </c>
    </row>
    <row r="261" spans="1:11" x14ac:dyDescent="0.35">
      <c r="A261" s="2" t="s">
        <v>805</v>
      </c>
      <c r="B261" s="4" t="s">
        <v>82</v>
      </c>
      <c r="C261" s="2" t="s">
        <v>31</v>
      </c>
      <c r="D261" s="2" t="s">
        <v>32</v>
      </c>
      <c r="E261" s="2" t="s">
        <v>21</v>
      </c>
      <c r="F261" s="2">
        <v>26049.41</v>
      </c>
      <c r="G261" s="2">
        <v>4566.37</v>
      </c>
      <c r="H261" s="2">
        <v>17</v>
      </c>
      <c r="I261" s="2">
        <f t="shared" si="12"/>
        <v>21483.040000000001</v>
      </c>
      <c r="J261" s="2" t="str">
        <f t="shared" si="13"/>
        <v>October</v>
      </c>
      <c r="K261" s="9">
        <f t="shared" si="14"/>
        <v>0.82470351535792941</v>
      </c>
    </row>
    <row r="262" spans="1:11" x14ac:dyDescent="0.35">
      <c r="A262" s="2" t="s">
        <v>807</v>
      </c>
      <c r="B262" s="4" t="s">
        <v>581</v>
      </c>
      <c r="C262" s="2" t="s">
        <v>10</v>
      </c>
      <c r="D262" s="2" t="s">
        <v>32</v>
      </c>
      <c r="E262" s="2" t="s">
        <v>12</v>
      </c>
      <c r="F262" s="2">
        <v>48189.98</v>
      </c>
      <c r="G262" s="2">
        <v>14264.51</v>
      </c>
      <c r="H262" s="2">
        <v>14</v>
      </c>
      <c r="I262" s="2">
        <f t="shared" si="12"/>
        <v>33925.47</v>
      </c>
      <c r="J262" s="2" t="str">
        <f t="shared" si="13"/>
        <v>December</v>
      </c>
      <c r="K262" s="9">
        <f t="shared" si="14"/>
        <v>0.70399427432839767</v>
      </c>
    </row>
    <row r="263" spans="1:11" x14ac:dyDescent="0.35">
      <c r="A263" s="2" t="s">
        <v>816</v>
      </c>
      <c r="B263" s="4" t="s">
        <v>817</v>
      </c>
      <c r="C263" s="2" t="s">
        <v>31</v>
      </c>
      <c r="D263" s="2" t="s">
        <v>32</v>
      </c>
      <c r="E263" s="2" t="s">
        <v>12</v>
      </c>
      <c r="F263" s="2">
        <v>32410.71</v>
      </c>
      <c r="G263" s="2">
        <v>5865.97</v>
      </c>
      <c r="H263" s="2">
        <v>13</v>
      </c>
      <c r="I263" s="2">
        <f t="shared" si="12"/>
        <v>26544.739999999998</v>
      </c>
      <c r="J263" s="2" t="str">
        <f t="shared" si="13"/>
        <v>October</v>
      </c>
      <c r="K263" s="9">
        <f t="shared" si="14"/>
        <v>0.81901137000701307</v>
      </c>
    </row>
    <row r="264" spans="1:11" x14ac:dyDescent="0.35">
      <c r="A264" s="2" t="s">
        <v>831</v>
      </c>
      <c r="B264" s="4" t="s">
        <v>127</v>
      </c>
      <c r="C264" s="2" t="s">
        <v>10</v>
      </c>
      <c r="D264" s="2" t="s">
        <v>32</v>
      </c>
      <c r="E264" s="2" t="s">
        <v>21</v>
      </c>
      <c r="F264" s="2">
        <v>8875.24</v>
      </c>
      <c r="G264" s="2">
        <v>1365.35</v>
      </c>
      <c r="H264" s="2">
        <v>8</v>
      </c>
      <c r="I264" s="2">
        <f t="shared" si="12"/>
        <v>7509.8899999999994</v>
      </c>
      <c r="J264" s="2" t="str">
        <f t="shared" si="13"/>
        <v>June</v>
      </c>
      <c r="K264" s="9">
        <f t="shared" si="14"/>
        <v>0.84616190660759594</v>
      </c>
    </row>
    <row r="265" spans="1:11" x14ac:dyDescent="0.35">
      <c r="A265" s="2" t="s">
        <v>842</v>
      </c>
      <c r="B265" s="4" t="s">
        <v>127</v>
      </c>
      <c r="C265" s="2" t="s">
        <v>27</v>
      </c>
      <c r="D265" s="2" t="s">
        <v>32</v>
      </c>
      <c r="E265" s="2" t="s">
        <v>21</v>
      </c>
      <c r="F265" s="2">
        <v>10888.32</v>
      </c>
      <c r="G265" s="2">
        <v>574.52</v>
      </c>
      <c r="H265" s="2">
        <v>11</v>
      </c>
      <c r="I265" s="2">
        <f t="shared" si="12"/>
        <v>10313.799999999999</v>
      </c>
      <c r="J265" s="2" t="str">
        <f t="shared" si="13"/>
        <v>June</v>
      </c>
      <c r="K265" s="9">
        <f t="shared" si="14"/>
        <v>0.94723520249221183</v>
      </c>
    </row>
    <row r="266" spans="1:11" x14ac:dyDescent="0.35">
      <c r="A266" s="2" t="s">
        <v>843</v>
      </c>
      <c r="B266" s="4" t="s">
        <v>311</v>
      </c>
      <c r="C266" s="2" t="s">
        <v>15</v>
      </c>
      <c r="D266" s="2" t="s">
        <v>32</v>
      </c>
      <c r="E266" s="2" t="s">
        <v>12</v>
      </c>
      <c r="F266" s="2">
        <v>33935.68</v>
      </c>
      <c r="G266" s="2">
        <v>5017.3</v>
      </c>
      <c r="H266" s="2">
        <v>19</v>
      </c>
      <c r="I266" s="2">
        <f t="shared" si="12"/>
        <v>28918.38</v>
      </c>
      <c r="J266" s="2" t="str">
        <f t="shared" si="13"/>
        <v>June</v>
      </c>
      <c r="K266" s="9">
        <f t="shared" si="14"/>
        <v>0.85215266056257011</v>
      </c>
    </row>
    <row r="267" spans="1:11" x14ac:dyDescent="0.35">
      <c r="A267" s="2" t="s">
        <v>847</v>
      </c>
      <c r="B267" s="4" t="s">
        <v>56</v>
      </c>
      <c r="C267" s="2" t="s">
        <v>27</v>
      </c>
      <c r="D267" s="2" t="s">
        <v>32</v>
      </c>
      <c r="E267" s="2" t="s">
        <v>17</v>
      </c>
      <c r="F267" s="2">
        <v>10953.88</v>
      </c>
      <c r="G267" s="2">
        <v>1544.93</v>
      </c>
      <c r="H267" s="2">
        <v>7</v>
      </c>
      <c r="I267" s="2">
        <f t="shared" si="12"/>
        <v>9408.9499999999989</v>
      </c>
      <c r="J267" s="2" t="str">
        <f t="shared" si="13"/>
        <v>January</v>
      </c>
      <c r="K267" s="9">
        <f t="shared" si="14"/>
        <v>0.85896047793110752</v>
      </c>
    </row>
    <row r="268" spans="1:11" x14ac:dyDescent="0.35">
      <c r="A268" s="2" t="s">
        <v>865</v>
      </c>
      <c r="B268" s="4" t="s">
        <v>121</v>
      </c>
      <c r="C268" s="2" t="s">
        <v>10</v>
      </c>
      <c r="D268" s="2" t="s">
        <v>32</v>
      </c>
      <c r="E268" s="2" t="s">
        <v>12</v>
      </c>
      <c r="F268" s="2">
        <v>45590.16</v>
      </c>
      <c r="G268" s="2">
        <v>5270.71</v>
      </c>
      <c r="H268" s="2">
        <v>3</v>
      </c>
      <c r="I268" s="2">
        <f t="shared" si="12"/>
        <v>40319.450000000004</v>
      </c>
      <c r="J268" s="2" t="str">
        <f t="shared" si="13"/>
        <v>May</v>
      </c>
      <c r="K268" s="9">
        <f t="shared" si="14"/>
        <v>0.88438930681533034</v>
      </c>
    </row>
    <row r="269" spans="1:11" x14ac:dyDescent="0.35">
      <c r="A269" s="2" t="s">
        <v>868</v>
      </c>
      <c r="B269" s="4" t="s">
        <v>869</v>
      </c>
      <c r="C269" s="2" t="s">
        <v>27</v>
      </c>
      <c r="D269" s="2" t="s">
        <v>32</v>
      </c>
      <c r="E269" s="2" t="s">
        <v>21</v>
      </c>
      <c r="F269" s="2">
        <v>14552.06</v>
      </c>
      <c r="G269" s="2">
        <v>2278.61</v>
      </c>
      <c r="H269" s="2">
        <v>6</v>
      </c>
      <c r="I269" s="2">
        <f t="shared" si="12"/>
        <v>12273.449999999999</v>
      </c>
      <c r="J269" s="2" t="str">
        <f t="shared" si="13"/>
        <v>March</v>
      </c>
      <c r="K269" s="9">
        <f t="shared" si="14"/>
        <v>0.84341667090432548</v>
      </c>
    </row>
    <row r="270" spans="1:11" x14ac:dyDescent="0.35">
      <c r="A270" s="2" t="s">
        <v>876</v>
      </c>
      <c r="B270" s="4" t="s">
        <v>817</v>
      </c>
      <c r="C270" s="2" t="s">
        <v>31</v>
      </c>
      <c r="D270" s="2" t="s">
        <v>32</v>
      </c>
      <c r="E270" s="2" t="s">
        <v>17</v>
      </c>
      <c r="F270" s="2">
        <v>19911.849999999999</v>
      </c>
      <c r="G270" s="2">
        <v>4309.2299999999996</v>
      </c>
      <c r="H270" s="2">
        <v>8</v>
      </c>
      <c r="I270" s="2">
        <f t="shared" si="12"/>
        <v>15602.619999999999</v>
      </c>
      <c r="J270" s="2" t="str">
        <f t="shared" si="13"/>
        <v>October</v>
      </c>
      <c r="K270" s="9">
        <f t="shared" si="14"/>
        <v>0.7835846493419748</v>
      </c>
    </row>
    <row r="271" spans="1:11" x14ac:dyDescent="0.35">
      <c r="A271" s="2" t="s">
        <v>900</v>
      </c>
      <c r="B271" s="4" t="s">
        <v>533</v>
      </c>
      <c r="C271" s="2" t="s">
        <v>15</v>
      </c>
      <c r="D271" s="2" t="s">
        <v>32</v>
      </c>
      <c r="E271" s="2" t="s">
        <v>17</v>
      </c>
      <c r="F271" s="2">
        <v>20809.32</v>
      </c>
      <c r="G271" s="2">
        <v>2924.74</v>
      </c>
      <c r="H271" s="2">
        <v>8</v>
      </c>
      <c r="I271" s="2">
        <f t="shared" si="12"/>
        <v>17884.580000000002</v>
      </c>
      <c r="J271" s="2" t="str">
        <f t="shared" si="13"/>
        <v>March</v>
      </c>
      <c r="K271" s="9">
        <f t="shared" si="14"/>
        <v>0.85945047699780686</v>
      </c>
    </row>
    <row r="272" spans="1:11" x14ac:dyDescent="0.35">
      <c r="A272" s="2" t="s">
        <v>905</v>
      </c>
      <c r="B272" s="4" t="s">
        <v>339</v>
      </c>
      <c r="C272" s="2" t="s">
        <v>15</v>
      </c>
      <c r="D272" s="2" t="s">
        <v>32</v>
      </c>
      <c r="E272" s="2" t="s">
        <v>12</v>
      </c>
      <c r="F272" s="2">
        <v>5135.42</v>
      </c>
      <c r="G272" s="2">
        <v>1049.1099999999999</v>
      </c>
      <c r="H272" s="2">
        <v>5</v>
      </c>
      <c r="I272" s="2">
        <f t="shared" si="12"/>
        <v>4086.3100000000004</v>
      </c>
      <c r="J272" s="2" t="str">
        <f t="shared" si="13"/>
        <v>September</v>
      </c>
      <c r="K272" s="9">
        <f t="shared" si="14"/>
        <v>0.79571096424440457</v>
      </c>
    </row>
    <row r="273" spans="1:11" x14ac:dyDescent="0.35">
      <c r="A273" s="2" t="s">
        <v>906</v>
      </c>
      <c r="B273" s="4" t="s">
        <v>907</v>
      </c>
      <c r="C273" s="2" t="s">
        <v>31</v>
      </c>
      <c r="D273" s="2" t="s">
        <v>32</v>
      </c>
      <c r="E273" s="2" t="s">
        <v>17</v>
      </c>
      <c r="F273" s="2">
        <v>43558.79</v>
      </c>
      <c r="G273" s="2">
        <v>4980.07</v>
      </c>
      <c r="H273" s="2">
        <v>8</v>
      </c>
      <c r="I273" s="2">
        <f t="shared" si="12"/>
        <v>38578.720000000001</v>
      </c>
      <c r="J273" s="2" t="str">
        <f t="shared" si="13"/>
        <v>July</v>
      </c>
      <c r="K273" s="9">
        <f t="shared" si="14"/>
        <v>0.88567014832138358</v>
      </c>
    </row>
    <row r="274" spans="1:11" x14ac:dyDescent="0.35">
      <c r="A274" s="2" t="s">
        <v>918</v>
      </c>
      <c r="B274" s="4" t="s">
        <v>144</v>
      </c>
      <c r="C274" s="2" t="s">
        <v>27</v>
      </c>
      <c r="D274" s="2" t="s">
        <v>32</v>
      </c>
      <c r="E274" s="2" t="s">
        <v>21</v>
      </c>
      <c r="F274" s="2">
        <v>19170.87</v>
      </c>
      <c r="G274" s="2">
        <v>5566.17</v>
      </c>
      <c r="H274" s="2">
        <v>4</v>
      </c>
      <c r="I274" s="2">
        <f t="shared" si="12"/>
        <v>13604.699999999999</v>
      </c>
      <c r="J274" s="2" t="str">
        <f t="shared" si="13"/>
        <v>August</v>
      </c>
      <c r="K274" s="9">
        <f t="shared" si="14"/>
        <v>0.70965480439854844</v>
      </c>
    </row>
    <row r="275" spans="1:11" x14ac:dyDescent="0.35">
      <c r="A275" s="2" t="s">
        <v>919</v>
      </c>
      <c r="B275" s="4" t="s">
        <v>138</v>
      </c>
      <c r="C275" s="2" t="s">
        <v>27</v>
      </c>
      <c r="D275" s="2" t="s">
        <v>32</v>
      </c>
      <c r="E275" s="2" t="s">
        <v>17</v>
      </c>
      <c r="F275" s="2">
        <v>38225.03</v>
      </c>
      <c r="G275" s="2">
        <v>7074.75</v>
      </c>
      <c r="H275" s="2">
        <v>18</v>
      </c>
      <c r="I275" s="2">
        <f t="shared" si="12"/>
        <v>31150.28</v>
      </c>
      <c r="J275" s="2" t="str">
        <f t="shared" si="13"/>
        <v>September</v>
      </c>
      <c r="K275" s="9">
        <f t="shared" si="14"/>
        <v>0.81491839247738984</v>
      </c>
    </row>
    <row r="276" spans="1:11" x14ac:dyDescent="0.35">
      <c r="A276" s="2" t="s">
        <v>940</v>
      </c>
      <c r="B276" s="4" t="s">
        <v>680</v>
      </c>
      <c r="C276" s="2" t="s">
        <v>15</v>
      </c>
      <c r="D276" s="2" t="s">
        <v>32</v>
      </c>
      <c r="E276" s="2" t="s">
        <v>21</v>
      </c>
      <c r="F276" s="2">
        <v>19059.73</v>
      </c>
      <c r="G276" s="2">
        <v>4259.3</v>
      </c>
      <c r="H276" s="2">
        <v>19</v>
      </c>
      <c r="I276" s="2">
        <f t="shared" si="12"/>
        <v>14800.43</v>
      </c>
      <c r="J276" s="2" t="str">
        <f t="shared" si="13"/>
        <v>May</v>
      </c>
      <c r="K276" s="9">
        <f t="shared" si="14"/>
        <v>0.77652883855122823</v>
      </c>
    </row>
    <row r="277" spans="1:11" x14ac:dyDescent="0.35">
      <c r="A277" s="2" t="s">
        <v>944</v>
      </c>
      <c r="B277" s="4" t="s">
        <v>464</v>
      </c>
      <c r="C277" s="2" t="s">
        <v>10</v>
      </c>
      <c r="D277" s="2" t="s">
        <v>32</v>
      </c>
      <c r="E277" s="2" t="s">
        <v>12</v>
      </c>
      <c r="F277" s="2">
        <v>29158.68</v>
      </c>
      <c r="G277" s="2">
        <v>6151.58</v>
      </c>
      <c r="H277" s="2">
        <v>8</v>
      </c>
      <c r="I277" s="2">
        <f t="shared" si="12"/>
        <v>23007.1</v>
      </c>
      <c r="J277" s="2" t="str">
        <f t="shared" si="13"/>
        <v>December</v>
      </c>
      <c r="K277" s="9">
        <f t="shared" si="14"/>
        <v>0.78903091635149458</v>
      </c>
    </row>
    <row r="278" spans="1:11" x14ac:dyDescent="0.35">
      <c r="A278" s="2" t="s">
        <v>966</v>
      </c>
      <c r="B278" s="4" t="s">
        <v>967</v>
      </c>
      <c r="C278" s="2" t="s">
        <v>10</v>
      </c>
      <c r="D278" s="2" t="s">
        <v>32</v>
      </c>
      <c r="E278" s="2" t="s">
        <v>21</v>
      </c>
      <c r="F278" s="2">
        <v>16165.67</v>
      </c>
      <c r="G278" s="2">
        <v>1946.65</v>
      </c>
      <c r="H278" s="2">
        <v>20</v>
      </c>
      <c r="I278" s="2">
        <f t="shared" si="12"/>
        <v>14219.02</v>
      </c>
      <c r="J278" s="2" t="str">
        <f t="shared" si="13"/>
        <v>February</v>
      </c>
      <c r="K278" s="9">
        <f t="shared" si="14"/>
        <v>0.87958123603908778</v>
      </c>
    </row>
    <row r="279" spans="1:11" x14ac:dyDescent="0.35">
      <c r="A279" s="2" t="s">
        <v>973</v>
      </c>
      <c r="B279" s="4" t="s">
        <v>402</v>
      </c>
      <c r="C279" s="2" t="s">
        <v>15</v>
      </c>
      <c r="D279" s="2" t="s">
        <v>32</v>
      </c>
      <c r="E279" s="2" t="s">
        <v>12</v>
      </c>
      <c r="F279" s="2">
        <v>5201.37</v>
      </c>
      <c r="G279" s="2">
        <v>1422.6</v>
      </c>
      <c r="H279" s="2">
        <v>15</v>
      </c>
      <c r="I279" s="2">
        <f t="shared" si="12"/>
        <v>3778.77</v>
      </c>
      <c r="J279" s="2" t="str">
        <f t="shared" si="13"/>
        <v>November</v>
      </c>
      <c r="K279" s="9">
        <f t="shared" si="14"/>
        <v>0.72649513493560347</v>
      </c>
    </row>
    <row r="280" spans="1:11" x14ac:dyDescent="0.35">
      <c r="A280" s="2" t="s">
        <v>977</v>
      </c>
      <c r="B280" s="4" t="s">
        <v>567</v>
      </c>
      <c r="C280" s="2" t="s">
        <v>31</v>
      </c>
      <c r="D280" s="2" t="s">
        <v>32</v>
      </c>
      <c r="E280" s="2" t="s">
        <v>12</v>
      </c>
      <c r="F280" s="2">
        <v>39503.64</v>
      </c>
      <c r="G280" s="2">
        <v>5193.6499999999996</v>
      </c>
      <c r="H280" s="2">
        <v>2</v>
      </c>
      <c r="I280" s="2">
        <f t="shared" si="12"/>
        <v>34309.99</v>
      </c>
      <c r="J280" s="2" t="str">
        <f t="shared" si="13"/>
        <v>March</v>
      </c>
      <c r="K280" s="9">
        <f t="shared" si="14"/>
        <v>0.86852730533186306</v>
      </c>
    </row>
    <row r="281" spans="1:11" x14ac:dyDescent="0.35">
      <c r="A281" s="2" t="s">
        <v>992</v>
      </c>
      <c r="B281" s="4" t="s">
        <v>682</v>
      </c>
      <c r="C281" s="2" t="s">
        <v>31</v>
      </c>
      <c r="D281" s="2" t="s">
        <v>32</v>
      </c>
      <c r="E281" s="2" t="s">
        <v>21</v>
      </c>
      <c r="F281" s="2">
        <v>49405.33</v>
      </c>
      <c r="G281" s="2">
        <v>9883.51</v>
      </c>
      <c r="H281" s="2">
        <v>10</v>
      </c>
      <c r="I281" s="2">
        <f t="shared" si="12"/>
        <v>39521.82</v>
      </c>
      <c r="J281" s="2" t="str">
        <f t="shared" si="13"/>
        <v>February</v>
      </c>
      <c r="K281" s="9">
        <f t="shared" si="14"/>
        <v>0.79995053165316365</v>
      </c>
    </row>
    <row r="282" spans="1:11" x14ac:dyDescent="0.35">
      <c r="A282" s="2" t="s">
        <v>998</v>
      </c>
      <c r="B282" s="4" t="s">
        <v>42</v>
      </c>
      <c r="C282" s="2" t="s">
        <v>31</v>
      </c>
      <c r="D282" s="2" t="s">
        <v>32</v>
      </c>
      <c r="E282" s="2" t="s">
        <v>12</v>
      </c>
      <c r="F282" s="2">
        <v>49087.99</v>
      </c>
      <c r="G282" s="2">
        <v>13526.61</v>
      </c>
      <c r="H282" s="2">
        <v>1</v>
      </c>
      <c r="I282" s="2">
        <f t="shared" si="12"/>
        <v>35561.379999999997</v>
      </c>
      <c r="J282" s="2" t="str">
        <f t="shared" si="13"/>
        <v>August</v>
      </c>
      <c r="K282" s="9">
        <f t="shared" si="14"/>
        <v>0.7244415589230685</v>
      </c>
    </row>
    <row r="283" spans="1:11" x14ac:dyDescent="0.35">
      <c r="A283" s="2" t="s">
        <v>1003</v>
      </c>
      <c r="B283" s="4" t="s">
        <v>812</v>
      </c>
      <c r="C283" s="2" t="s">
        <v>27</v>
      </c>
      <c r="D283" s="2" t="s">
        <v>32</v>
      </c>
      <c r="E283" s="2" t="s">
        <v>17</v>
      </c>
      <c r="F283" s="2">
        <v>2414.27</v>
      </c>
      <c r="G283" s="2">
        <v>181.61</v>
      </c>
      <c r="H283" s="2">
        <v>6</v>
      </c>
      <c r="I283" s="2">
        <f t="shared" si="12"/>
        <v>2232.66</v>
      </c>
      <c r="J283" s="2" t="str">
        <f t="shared" si="13"/>
        <v>June</v>
      </c>
      <c r="K283" s="9">
        <f t="shared" si="14"/>
        <v>0.92477643345607574</v>
      </c>
    </row>
    <row r="284" spans="1:11" x14ac:dyDescent="0.35">
      <c r="A284" s="2" t="s">
        <v>1004</v>
      </c>
      <c r="B284" s="4" t="s">
        <v>686</v>
      </c>
      <c r="C284" s="2" t="s">
        <v>27</v>
      </c>
      <c r="D284" s="2" t="s">
        <v>32</v>
      </c>
      <c r="E284" s="2" t="s">
        <v>17</v>
      </c>
      <c r="F284" s="2">
        <v>11238.04</v>
      </c>
      <c r="G284" s="2">
        <v>603.03</v>
      </c>
      <c r="H284" s="2">
        <v>14</v>
      </c>
      <c r="I284" s="2">
        <f t="shared" si="12"/>
        <v>10635.01</v>
      </c>
      <c r="J284" s="2" t="str">
        <f t="shared" si="13"/>
        <v>June</v>
      </c>
      <c r="K284" s="9">
        <f t="shared" si="14"/>
        <v>0.94634028709632634</v>
      </c>
    </row>
    <row r="285" spans="1:11" x14ac:dyDescent="0.35">
      <c r="A285" s="2" t="s">
        <v>1014</v>
      </c>
      <c r="B285" s="4" t="s">
        <v>60</v>
      </c>
      <c r="C285" s="2" t="s">
        <v>31</v>
      </c>
      <c r="D285" s="2" t="s">
        <v>32</v>
      </c>
      <c r="E285" s="2" t="s">
        <v>17</v>
      </c>
      <c r="F285" s="2">
        <v>2373.77</v>
      </c>
      <c r="G285" s="2">
        <v>629.64</v>
      </c>
      <c r="H285" s="2">
        <v>13</v>
      </c>
      <c r="I285" s="2">
        <f t="shared" si="12"/>
        <v>1744.13</v>
      </c>
      <c r="J285" s="2" t="str">
        <f t="shared" si="13"/>
        <v>October</v>
      </c>
      <c r="K285" s="9">
        <f t="shared" si="14"/>
        <v>0.73475105001748275</v>
      </c>
    </row>
    <row r="286" spans="1:11" x14ac:dyDescent="0.35">
      <c r="A286" s="2" t="s">
        <v>1017</v>
      </c>
      <c r="B286" s="4" t="s">
        <v>464</v>
      </c>
      <c r="C286" s="2" t="s">
        <v>31</v>
      </c>
      <c r="D286" s="2" t="s">
        <v>32</v>
      </c>
      <c r="E286" s="2" t="s">
        <v>12</v>
      </c>
      <c r="F286" s="2">
        <v>16223.42</v>
      </c>
      <c r="G286" s="2">
        <v>3441.66</v>
      </c>
      <c r="H286" s="2">
        <v>20</v>
      </c>
      <c r="I286" s="2">
        <f t="shared" si="12"/>
        <v>12781.76</v>
      </c>
      <c r="J286" s="2" t="str">
        <f t="shared" si="13"/>
        <v>December</v>
      </c>
      <c r="K286" s="9">
        <f t="shared" si="14"/>
        <v>0.78785854030777724</v>
      </c>
    </row>
    <row r="287" spans="1:11" x14ac:dyDescent="0.35">
      <c r="A287" s="2" t="s">
        <v>1018</v>
      </c>
      <c r="B287" s="4" t="s">
        <v>109</v>
      </c>
      <c r="C287" s="2" t="s">
        <v>31</v>
      </c>
      <c r="D287" s="2" t="s">
        <v>32</v>
      </c>
      <c r="E287" s="2" t="s">
        <v>21</v>
      </c>
      <c r="F287" s="2">
        <v>33870.050000000003</v>
      </c>
      <c r="G287" s="2">
        <v>4105.92</v>
      </c>
      <c r="H287" s="2">
        <v>8</v>
      </c>
      <c r="I287" s="2">
        <f t="shared" si="12"/>
        <v>29764.130000000005</v>
      </c>
      <c r="J287" s="2" t="str">
        <f t="shared" si="13"/>
        <v>January</v>
      </c>
      <c r="K287" s="9">
        <f t="shared" si="14"/>
        <v>0.87877431536121153</v>
      </c>
    </row>
    <row r="288" spans="1:11" x14ac:dyDescent="0.35">
      <c r="A288" s="2" t="s">
        <v>1020</v>
      </c>
      <c r="B288" s="4" t="s">
        <v>1021</v>
      </c>
      <c r="C288" s="2" t="s">
        <v>31</v>
      </c>
      <c r="D288" s="2" t="s">
        <v>32</v>
      </c>
      <c r="E288" s="2" t="s">
        <v>17</v>
      </c>
      <c r="F288" s="2">
        <v>7553.46</v>
      </c>
      <c r="G288" s="2">
        <v>754.59</v>
      </c>
      <c r="H288" s="2">
        <v>15</v>
      </c>
      <c r="I288" s="2">
        <f t="shared" si="12"/>
        <v>6798.87</v>
      </c>
      <c r="J288" s="2" t="str">
        <f t="shared" si="13"/>
        <v>August</v>
      </c>
      <c r="K288" s="9">
        <f t="shared" si="14"/>
        <v>0.90010008658283747</v>
      </c>
    </row>
    <row r="289" spans="1:11" x14ac:dyDescent="0.35">
      <c r="A289" s="2" t="s">
        <v>1022</v>
      </c>
      <c r="B289" s="4" t="s">
        <v>496</v>
      </c>
      <c r="C289" s="2" t="s">
        <v>15</v>
      </c>
      <c r="D289" s="2" t="s">
        <v>32</v>
      </c>
      <c r="E289" s="2" t="s">
        <v>21</v>
      </c>
      <c r="F289" s="2">
        <v>16511.240000000002</v>
      </c>
      <c r="G289" s="2">
        <v>3052.91</v>
      </c>
      <c r="H289" s="2">
        <v>10</v>
      </c>
      <c r="I289" s="2">
        <f t="shared" si="12"/>
        <v>13458.330000000002</v>
      </c>
      <c r="J289" s="2" t="str">
        <f t="shared" si="13"/>
        <v>January</v>
      </c>
      <c r="K289" s="9">
        <f t="shared" si="14"/>
        <v>0.81510110688234194</v>
      </c>
    </row>
    <row r="290" spans="1:11" x14ac:dyDescent="0.35">
      <c r="A290" s="2" t="s">
        <v>1023</v>
      </c>
      <c r="B290" s="4" t="s">
        <v>628</v>
      </c>
      <c r="C290" s="2" t="s">
        <v>31</v>
      </c>
      <c r="D290" s="2" t="s">
        <v>32</v>
      </c>
      <c r="E290" s="2" t="s">
        <v>17</v>
      </c>
      <c r="F290" s="2">
        <v>17335.740000000002</v>
      </c>
      <c r="G290" s="2">
        <v>1151.8</v>
      </c>
      <c r="H290" s="2">
        <v>18</v>
      </c>
      <c r="I290" s="2">
        <f t="shared" si="12"/>
        <v>16183.940000000002</v>
      </c>
      <c r="J290" s="2" t="str">
        <f t="shared" si="13"/>
        <v>February</v>
      </c>
      <c r="K290" s="9">
        <f t="shared" si="14"/>
        <v>0.93355922504606093</v>
      </c>
    </row>
    <row r="291" spans="1:11" x14ac:dyDescent="0.35">
      <c r="A291" s="2" t="s">
        <v>1026</v>
      </c>
      <c r="B291" s="4" t="s">
        <v>1027</v>
      </c>
      <c r="C291" s="2" t="s">
        <v>31</v>
      </c>
      <c r="D291" s="2" t="s">
        <v>32</v>
      </c>
      <c r="E291" s="2" t="s">
        <v>12</v>
      </c>
      <c r="F291" s="2">
        <v>40325.08</v>
      </c>
      <c r="G291" s="2">
        <v>8259.98</v>
      </c>
      <c r="H291" s="2">
        <v>6</v>
      </c>
      <c r="I291" s="2">
        <f t="shared" si="12"/>
        <v>32065.100000000002</v>
      </c>
      <c r="J291" s="2" t="str">
        <f t="shared" si="13"/>
        <v>September</v>
      </c>
      <c r="K291" s="9">
        <f t="shared" si="14"/>
        <v>0.79516519248070927</v>
      </c>
    </row>
    <row r="292" spans="1:11" x14ac:dyDescent="0.35">
      <c r="A292" s="2" t="s">
        <v>1029</v>
      </c>
      <c r="B292" s="4" t="s">
        <v>484</v>
      </c>
      <c r="C292" s="2" t="s">
        <v>27</v>
      </c>
      <c r="D292" s="2" t="s">
        <v>32</v>
      </c>
      <c r="E292" s="2" t="s">
        <v>17</v>
      </c>
      <c r="F292" s="2">
        <v>10134.49</v>
      </c>
      <c r="G292" s="2">
        <v>2546.16</v>
      </c>
      <c r="H292" s="2">
        <v>17</v>
      </c>
      <c r="I292" s="2">
        <f t="shared" si="12"/>
        <v>7588.33</v>
      </c>
      <c r="J292" s="2" t="str">
        <f t="shared" si="13"/>
        <v>November</v>
      </c>
      <c r="K292" s="9">
        <f t="shared" si="14"/>
        <v>0.74876288792035905</v>
      </c>
    </row>
    <row r="293" spans="1:11" x14ac:dyDescent="0.35">
      <c r="A293" s="2" t="s">
        <v>1030</v>
      </c>
      <c r="B293" s="4" t="s">
        <v>531</v>
      </c>
      <c r="C293" s="2" t="s">
        <v>27</v>
      </c>
      <c r="D293" s="2" t="s">
        <v>32</v>
      </c>
      <c r="E293" s="2" t="s">
        <v>12</v>
      </c>
      <c r="F293" s="2">
        <v>31613.45</v>
      </c>
      <c r="G293" s="2">
        <v>7695.24</v>
      </c>
      <c r="H293" s="2">
        <v>11</v>
      </c>
      <c r="I293" s="2">
        <f t="shared" si="12"/>
        <v>23918.21</v>
      </c>
      <c r="J293" s="2" t="str">
        <f t="shared" si="13"/>
        <v>March</v>
      </c>
      <c r="K293" s="9">
        <f t="shared" si="14"/>
        <v>0.75658335297159907</v>
      </c>
    </row>
    <row r="294" spans="1:11" x14ac:dyDescent="0.35">
      <c r="A294" s="2" t="s">
        <v>1037</v>
      </c>
      <c r="B294" s="4" t="s">
        <v>615</v>
      </c>
      <c r="C294" s="2" t="s">
        <v>27</v>
      </c>
      <c r="D294" s="2" t="s">
        <v>32</v>
      </c>
      <c r="E294" s="2" t="s">
        <v>12</v>
      </c>
      <c r="F294" s="2">
        <v>9248.6299999999992</v>
      </c>
      <c r="G294" s="2">
        <v>2379.83</v>
      </c>
      <c r="H294" s="2">
        <v>11</v>
      </c>
      <c r="I294" s="2">
        <f t="shared" si="12"/>
        <v>6868.7999999999993</v>
      </c>
      <c r="J294" s="2" t="str">
        <f t="shared" si="13"/>
        <v>November</v>
      </c>
      <c r="K294" s="9">
        <f t="shared" si="14"/>
        <v>0.74268297034263453</v>
      </c>
    </row>
    <row r="295" spans="1:11" x14ac:dyDescent="0.35">
      <c r="A295" s="2" t="s">
        <v>1051</v>
      </c>
      <c r="B295" s="4" t="s">
        <v>406</v>
      </c>
      <c r="C295" s="2" t="s">
        <v>10</v>
      </c>
      <c r="D295" s="2" t="s">
        <v>32</v>
      </c>
      <c r="E295" s="2" t="s">
        <v>21</v>
      </c>
      <c r="F295" s="2">
        <v>10390.82</v>
      </c>
      <c r="G295" s="2">
        <v>2012.86</v>
      </c>
      <c r="H295" s="2">
        <v>14</v>
      </c>
      <c r="I295" s="2">
        <f t="shared" si="12"/>
        <v>8377.9599999999991</v>
      </c>
      <c r="J295" s="2" t="str">
        <f t="shared" si="13"/>
        <v>February</v>
      </c>
      <c r="K295" s="9">
        <f t="shared" si="14"/>
        <v>0.80628477829468703</v>
      </c>
    </row>
    <row r="296" spans="1:11" x14ac:dyDescent="0.35">
      <c r="A296" s="2" t="s">
        <v>1056</v>
      </c>
      <c r="B296" s="4" t="s">
        <v>1057</v>
      </c>
      <c r="C296" s="2" t="s">
        <v>15</v>
      </c>
      <c r="D296" s="2" t="s">
        <v>32</v>
      </c>
      <c r="E296" s="2" t="s">
        <v>17</v>
      </c>
      <c r="F296" s="2">
        <v>13007.42</v>
      </c>
      <c r="G296" s="2">
        <v>1630.95</v>
      </c>
      <c r="H296" s="2">
        <v>18</v>
      </c>
      <c r="I296" s="2">
        <f t="shared" si="12"/>
        <v>11376.47</v>
      </c>
      <c r="J296" s="2" t="str">
        <f t="shared" si="13"/>
        <v>September</v>
      </c>
      <c r="K296" s="9">
        <f t="shared" si="14"/>
        <v>0.8746138742348597</v>
      </c>
    </row>
    <row r="297" spans="1:11" x14ac:dyDescent="0.35">
      <c r="A297" s="2" t="s">
        <v>1059</v>
      </c>
      <c r="B297" s="4" t="s">
        <v>645</v>
      </c>
      <c r="C297" s="2" t="s">
        <v>10</v>
      </c>
      <c r="D297" s="2" t="s">
        <v>32</v>
      </c>
      <c r="E297" s="2" t="s">
        <v>12</v>
      </c>
      <c r="F297" s="2">
        <v>3940.31</v>
      </c>
      <c r="G297" s="2">
        <v>297.93</v>
      </c>
      <c r="H297" s="2">
        <v>18</v>
      </c>
      <c r="I297" s="2">
        <f t="shared" si="12"/>
        <v>3642.38</v>
      </c>
      <c r="J297" s="2" t="str">
        <f t="shared" si="13"/>
        <v>July</v>
      </c>
      <c r="K297" s="9">
        <f t="shared" si="14"/>
        <v>0.92438919780423368</v>
      </c>
    </row>
    <row r="298" spans="1:11" x14ac:dyDescent="0.35">
      <c r="A298" s="2" t="s">
        <v>1068</v>
      </c>
      <c r="B298" s="4" t="s">
        <v>1069</v>
      </c>
      <c r="C298" s="2" t="s">
        <v>27</v>
      </c>
      <c r="D298" s="2" t="s">
        <v>32</v>
      </c>
      <c r="E298" s="2" t="s">
        <v>21</v>
      </c>
      <c r="F298" s="2">
        <v>14863.94</v>
      </c>
      <c r="G298" s="2">
        <v>3105.41</v>
      </c>
      <c r="H298" s="2">
        <v>12</v>
      </c>
      <c r="I298" s="2">
        <f t="shared" si="12"/>
        <v>11758.53</v>
      </c>
      <c r="J298" s="2" t="str">
        <f t="shared" si="13"/>
        <v>July</v>
      </c>
      <c r="K298" s="9">
        <f t="shared" si="14"/>
        <v>0.79107760122820736</v>
      </c>
    </row>
    <row r="299" spans="1:11" x14ac:dyDescent="0.35">
      <c r="A299" s="2" t="s">
        <v>1070</v>
      </c>
      <c r="B299" s="4" t="s">
        <v>1071</v>
      </c>
      <c r="C299" s="2" t="s">
        <v>27</v>
      </c>
      <c r="D299" s="2" t="s">
        <v>32</v>
      </c>
      <c r="E299" s="2" t="s">
        <v>21</v>
      </c>
      <c r="F299" s="2">
        <v>49623.61</v>
      </c>
      <c r="G299" s="2">
        <v>11956.23</v>
      </c>
      <c r="H299" s="2">
        <v>2</v>
      </c>
      <c r="I299" s="2">
        <f t="shared" si="12"/>
        <v>37667.380000000005</v>
      </c>
      <c r="J299" s="2" t="str">
        <f t="shared" si="13"/>
        <v>July</v>
      </c>
      <c r="K299" s="9">
        <f t="shared" si="14"/>
        <v>0.75906166439724965</v>
      </c>
    </row>
    <row r="300" spans="1:11" x14ac:dyDescent="0.35">
      <c r="A300" s="2" t="s">
        <v>1084</v>
      </c>
      <c r="B300" s="4" t="s">
        <v>1085</v>
      </c>
      <c r="C300" s="2" t="s">
        <v>27</v>
      </c>
      <c r="D300" s="2" t="s">
        <v>32</v>
      </c>
      <c r="E300" s="2" t="s">
        <v>17</v>
      </c>
      <c r="F300" s="2">
        <v>49987.59</v>
      </c>
      <c r="G300" s="2">
        <v>3380.44</v>
      </c>
      <c r="H300" s="2">
        <v>8</v>
      </c>
      <c r="I300" s="2">
        <f t="shared" si="12"/>
        <v>46607.149999999994</v>
      </c>
      <c r="J300" s="2" t="str">
        <f t="shared" si="13"/>
        <v>December</v>
      </c>
      <c r="K300" s="9">
        <f t="shared" si="14"/>
        <v>0.93237441532988485</v>
      </c>
    </row>
    <row r="301" spans="1:11" x14ac:dyDescent="0.35">
      <c r="A301" s="2" t="s">
        <v>1092</v>
      </c>
      <c r="B301" s="4" t="s">
        <v>1093</v>
      </c>
      <c r="C301" s="2" t="s">
        <v>10</v>
      </c>
      <c r="D301" s="2" t="s">
        <v>32</v>
      </c>
      <c r="E301" s="2" t="s">
        <v>17</v>
      </c>
      <c r="F301" s="2">
        <v>36572</v>
      </c>
      <c r="G301" s="2">
        <v>10664.32</v>
      </c>
      <c r="H301" s="2">
        <v>5</v>
      </c>
      <c r="I301" s="2">
        <f t="shared" si="12"/>
        <v>25907.68</v>
      </c>
      <c r="J301" s="2" t="str">
        <f t="shared" si="13"/>
        <v>January</v>
      </c>
      <c r="K301" s="9">
        <f t="shared" si="14"/>
        <v>0.70840205621787156</v>
      </c>
    </row>
    <row r="302" spans="1:11" x14ac:dyDescent="0.35">
      <c r="A302" s="2" t="s">
        <v>1101</v>
      </c>
      <c r="B302" s="4" t="s">
        <v>420</v>
      </c>
      <c r="C302" s="2" t="s">
        <v>10</v>
      </c>
      <c r="D302" s="2" t="s">
        <v>32</v>
      </c>
      <c r="E302" s="2" t="s">
        <v>12</v>
      </c>
      <c r="F302" s="2">
        <v>35477.61</v>
      </c>
      <c r="G302" s="2">
        <v>10254.48</v>
      </c>
      <c r="H302" s="2">
        <v>6</v>
      </c>
      <c r="I302" s="2">
        <f t="shared" si="12"/>
        <v>25223.13</v>
      </c>
      <c r="J302" s="2" t="str">
        <f t="shared" si="13"/>
        <v>November</v>
      </c>
      <c r="K302" s="9">
        <f t="shared" si="14"/>
        <v>0.71095910913953897</v>
      </c>
    </row>
    <row r="303" spans="1:11" x14ac:dyDescent="0.35">
      <c r="A303" s="2" t="s">
        <v>1103</v>
      </c>
      <c r="B303" s="4" t="s">
        <v>456</v>
      </c>
      <c r="C303" s="2" t="s">
        <v>27</v>
      </c>
      <c r="D303" s="2" t="s">
        <v>32</v>
      </c>
      <c r="E303" s="2" t="s">
        <v>12</v>
      </c>
      <c r="F303" s="2">
        <v>13006.99</v>
      </c>
      <c r="G303" s="2">
        <v>2678.63</v>
      </c>
      <c r="H303" s="2">
        <v>15</v>
      </c>
      <c r="I303" s="2">
        <f t="shared" si="12"/>
        <v>10328.36</v>
      </c>
      <c r="J303" s="2" t="str">
        <f t="shared" si="13"/>
        <v>April</v>
      </c>
      <c r="K303" s="9">
        <f t="shared" si="14"/>
        <v>0.79406226959504089</v>
      </c>
    </row>
    <row r="304" spans="1:11" x14ac:dyDescent="0.35">
      <c r="A304" s="2" t="s">
        <v>1113</v>
      </c>
      <c r="B304" s="4" t="s">
        <v>1114</v>
      </c>
      <c r="C304" s="2" t="s">
        <v>27</v>
      </c>
      <c r="D304" s="2" t="s">
        <v>32</v>
      </c>
      <c r="E304" s="2" t="s">
        <v>17</v>
      </c>
      <c r="F304" s="2">
        <v>3541.97</v>
      </c>
      <c r="G304" s="2">
        <v>548.16</v>
      </c>
      <c r="H304" s="2">
        <v>17</v>
      </c>
      <c r="I304" s="2">
        <f t="shared" si="12"/>
        <v>2993.81</v>
      </c>
      <c r="J304" s="2" t="str">
        <f t="shared" si="13"/>
        <v>November</v>
      </c>
      <c r="K304" s="9">
        <f t="shared" si="14"/>
        <v>0.84523866661772973</v>
      </c>
    </row>
    <row r="305" spans="1:11" x14ac:dyDescent="0.35">
      <c r="A305" s="2" t="s">
        <v>1117</v>
      </c>
      <c r="B305" s="4" t="s">
        <v>531</v>
      </c>
      <c r="C305" s="2" t="s">
        <v>15</v>
      </c>
      <c r="D305" s="2" t="s">
        <v>32</v>
      </c>
      <c r="E305" s="2" t="s">
        <v>21</v>
      </c>
      <c r="F305" s="2">
        <v>32486.7</v>
      </c>
      <c r="G305" s="2">
        <v>5229.32</v>
      </c>
      <c r="H305" s="2">
        <v>1</v>
      </c>
      <c r="I305" s="2">
        <f t="shared" si="12"/>
        <v>27257.38</v>
      </c>
      <c r="J305" s="2" t="str">
        <f t="shared" si="13"/>
        <v>March</v>
      </c>
      <c r="K305" s="9">
        <f t="shared" si="14"/>
        <v>0.83903197308436994</v>
      </c>
    </row>
    <row r="306" spans="1:11" x14ac:dyDescent="0.35">
      <c r="A306" s="2" t="s">
        <v>1118</v>
      </c>
      <c r="B306" s="4" t="s">
        <v>217</v>
      </c>
      <c r="C306" s="2" t="s">
        <v>31</v>
      </c>
      <c r="D306" s="2" t="s">
        <v>32</v>
      </c>
      <c r="E306" s="2" t="s">
        <v>21</v>
      </c>
      <c r="F306" s="2">
        <v>11854.67</v>
      </c>
      <c r="G306" s="2">
        <v>2991.23</v>
      </c>
      <c r="H306" s="2">
        <v>9</v>
      </c>
      <c r="I306" s="2">
        <f t="shared" si="12"/>
        <v>8863.44</v>
      </c>
      <c r="J306" s="2" t="str">
        <f t="shared" si="13"/>
        <v>July</v>
      </c>
      <c r="K306" s="9">
        <f t="shared" si="14"/>
        <v>0.74767496691177404</v>
      </c>
    </row>
    <row r="307" spans="1:11" x14ac:dyDescent="0.35">
      <c r="A307" s="2" t="s">
        <v>1125</v>
      </c>
      <c r="B307" s="4" t="s">
        <v>119</v>
      </c>
      <c r="C307" s="2" t="s">
        <v>27</v>
      </c>
      <c r="D307" s="2" t="s">
        <v>32</v>
      </c>
      <c r="E307" s="2" t="s">
        <v>12</v>
      </c>
      <c r="F307" s="2">
        <v>26618.28</v>
      </c>
      <c r="G307" s="2">
        <v>7894.73</v>
      </c>
      <c r="H307" s="2">
        <v>3</v>
      </c>
      <c r="I307" s="2">
        <f t="shared" si="12"/>
        <v>18723.55</v>
      </c>
      <c r="J307" s="2" t="str">
        <f t="shared" si="13"/>
        <v>October</v>
      </c>
      <c r="K307" s="9">
        <f t="shared" si="14"/>
        <v>0.70340946146783334</v>
      </c>
    </row>
    <row r="308" spans="1:11" x14ac:dyDescent="0.35">
      <c r="A308" s="2" t="s">
        <v>1126</v>
      </c>
      <c r="B308" s="4" t="s">
        <v>435</v>
      </c>
      <c r="C308" s="2" t="s">
        <v>31</v>
      </c>
      <c r="D308" s="2" t="s">
        <v>32</v>
      </c>
      <c r="E308" s="2" t="s">
        <v>12</v>
      </c>
      <c r="F308" s="2">
        <v>27826.31</v>
      </c>
      <c r="G308" s="2">
        <v>3321.42</v>
      </c>
      <c r="H308" s="2">
        <v>2</v>
      </c>
      <c r="I308" s="2">
        <f t="shared" si="12"/>
        <v>24504.89</v>
      </c>
      <c r="J308" s="2" t="str">
        <f t="shared" si="13"/>
        <v>June</v>
      </c>
      <c r="K308" s="9">
        <f t="shared" si="14"/>
        <v>0.88063742551563606</v>
      </c>
    </row>
    <row r="309" spans="1:11" x14ac:dyDescent="0.35">
      <c r="A309" s="2" t="s">
        <v>1128</v>
      </c>
      <c r="B309" s="4" t="s">
        <v>926</v>
      </c>
      <c r="C309" s="2" t="s">
        <v>15</v>
      </c>
      <c r="D309" s="2" t="s">
        <v>32</v>
      </c>
      <c r="E309" s="2" t="s">
        <v>17</v>
      </c>
      <c r="F309" s="2">
        <v>2948.43</v>
      </c>
      <c r="G309" s="2">
        <v>289.61</v>
      </c>
      <c r="H309" s="2">
        <v>9</v>
      </c>
      <c r="I309" s="2">
        <f t="shared" si="12"/>
        <v>2658.8199999999997</v>
      </c>
      <c r="J309" s="2" t="str">
        <f t="shared" si="13"/>
        <v>June</v>
      </c>
      <c r="K309" s="9">
        <f t="shared" si="14"/>
        <v>0.90177484288248322</v>
      </c>
    </row>
    <row r="310" spans="1:11" x14ac:dyDescent="0.35">
      <c r="A310" s="2" t="s">
        <v>1150</v>
      </c>
      <c r="B310" s="4" t="s">
        <v>332</v>
      </c>
      <c r="C310" s="2" t="s">
        <v>27</v>
      </c>
      <c r="D310" s="2" t="s">
        <v>32</v>
      </c>
      <c r="E310" s="2" t="s">
        <v>12</v>
      </c>
      <c r="F310" s="2">
        <v>19290.02</v>
      </c>
      <c r="G310" s="2">
        <v>3532.31</v>
      </c>
      <c r="H310" s="2">
        <v>20</v>
      </c>
      <c r="I310" s="2">
        <f t="shared" si="12"/>
        <v>15757.710000000001</v>
      </c>
      <c r="J310" s="2" t="str">
        <f t="shared" si="13"/>
        <v>April</v>
      </c>
      <c r="K310" s="9">
        <f t="shared" si="14"/>
        <v>0.81688406751263087</v>
      </c>
    </row>
    <row r="311" spans="1:11" x14ac:dyDescent="0.35">
      <c r="A311" s="2" t="s">
        <v>1152</v>
      </c>
      <c r="B311" s="4" t="s">
        <v>604</v>
      </c>
      <c r="C311" s="2" t="s">
        <v>10</v>
      </c>
      <c r="D311" s="2" t="s">
        <v>32</v>
      </c>
      <c r="E311" s="2" t="s">
        <v>17</v>
      </c>
      <c r="F311" s="2">
        <v>5883.11</v>
      </c>
      <c r="G311" s="2">
        <v>826.72</v>
      </c>
      <c r="H311" s="2">
        <v>19</v>
      </c>
      <c r="I311" s="2">
        <f t="shared" si="12"/>
        <v>5056.3899999999994</v>
      </c>
      <c r="J311" s="2" t="str">
        <f t="shared" si="13"/>
        <v>October</v>
      </c>
      <c r="K311" s="9">
        <f t="shared" si="14"/>
        <v>0.85947568547927877</v>
      </c>
    </row>
    <row r="312" spans="1:11" x14ac:dyDescent="0.35">
      <c r="A312" s="2" t="s">
        <v>1157</v>
      </c>
      <c r="B312" s="4" t="s">
        <v>9</v>
      </c>
      <c r="C312" s="2" t="s">
        <v>15</v>
      </c>
      <c r="D312" s="2" t="s">
        <v>32</v>
      </c>
      <c r="E312" s="2" t="s">
        <v>21</v>
      </c>
      <c r="F312" s="2">
        <v>40970.019999999997</v>
      </c>
      <c r="G312" s="2">
        <v>4444.4399999999996</v>
      </c>
      <c r="H312" s="2">
        <v>11</v>
      </c>
      <c r="I312" s="2">
        <f t="shared" si="12"/>
        <v>36525.579999999994</v>
      </c>
      <c r="J312" s="2" t="str">
        <f t="shared" si="13"/>
        <v>August</v>
      </c>
      <c r="K312" s="9">
        <f t="shared" si="14"/>
        <v>0.89151970147927673</v>
      </c>
    </row>
    <row r="313" spans="1:11" x14ac:dyDescent="0.35">
      <c r="A313" s="2" t="s">
        <v>1170</v>
      </c>
      <c r="B313" s="4" t="s">
        <v>527</v>
      </c>
      <c r="C313" s="2" t="s">
        <v>10</v>
      </c>
      <c r="D313" s="2" t="s">
        <v>32</v>
      </c>
      <c r="E313" s="2" t="s">
        <v>21</v>
      </c>
      <c r="F313" s="2">
        <v>18540.04</v>
      </c>
      <c r="G313" s="2">
        <v>1193.71</v>
      </c>
      <c r="H313" s="2">
        <v>10</v>
      </c>
      <c r="I313" s="2">
        <f t="shared" si="12"/>
        <v>17346.330000000002</v>
      </c>
      <c r="J313" s="2" t="str">
        <f t="shared" si="13"/>
        <v>March</v>
      </c>
      <c r="K313" s="9">
        <f t="shared" si="14"/>
        <v>0.93561448626863808</v>
      </c>
    </row>
    <row r="314" spans="1:11" x14ac:dyDescent="0.35">
      <c r="A314" s="2" t="s">
        <v>1176</v>
      </c>
      <c r="B314" s="4" t="s">
        <v>682</v>
      </c>
      <c r="C314" s="2" t="s">
        <v>27</v>
      </c>
      <c r="D314" s="2" t="s">
        <v>32</v>
      </c>
      <c r="E314" s="2" t="s">
        <v>21</v>
      </c>
      <c r="F314" s="2">
        <v>40238.5</v>
      </c>
      <c r="G314" s="2">
        <v>5902.07</v>
      </c>
      <c r="H314" s="2">
        <v>5</v>
      </c>
      <c r="I314" s="2">
        <f t="shared" si="12"/>
        <v>34336.43</v>
      </c>
      <c r="J314" s="2" t="str">
        <f t="shared" si="13"/>
        <v>February</v>
      </c>
      <c r="K314" s="9">
        <f t="shared" si="14"/>
        <v>0.85332281272910271</v>
      </c>
    </row>
    <row r="315" spans="1:11" x14ac:dyDescent="0.35">
      <c r="A315" s="2" t="s">
        <v>1178</v>
      </c>
      <c r="B315" s="4" t="s">
        <v>387</v>
      </c>
      <c r="C315" s="2" t="s">
        <v>27</v>
      </c>
      <c r="D315" s="2" t="s">
        <v>32</v>
      </c>
      <c r="E315" s="2" t="s">
        <v>12</v>
      </c>
      <c r="F315" s="2">
        <v>28477.53</v>
      </c>
      <c r="G315" s="2">
        <v>1612.33</v>
      </c>
      <c r="H315" s="2">
        <v>9</v>
      </c>
      <c r="I315" s="2">
        <f t="shared" si="12"/>
        <v>26865.199999999997</v>
      </c>
      <c r="J315" s="2" t="str">
        <f t="shared" si="13"/>
        <v>July</v>
      </c>
      <c r="K315" s="9">
        <f t="shared" si="14"/>
        <v>0.94338237901952871</v>
      </c>
    </row>
    <row r="316" spans="1:11" x14ac:dyDescent="0.35">
      <c r="A316" s="2" t="s">
        <v>1181</v>
      </c>
      <c r="B316" s="4" t="s">
        <v>1182</v>
      </c>
      <c r="C316" s="2" t="s">
        <v>31</v>
      </c>
      <c r="D316" s="2" t="s">
        <v>32</v>
      </c>
      <c r="E316" s="2" t="s">
        <v>12</v>
      </c>
      <c r="F316" s="2">
        <v>25739.119999999999</v>
      </c>
      <c r="G316" s="2">
        <v>2731.93</v>
      </c>
      <c r="H316" s="2">
        <v>4</v>
      </c>
      <c r="I316" s="2">
        <f t="shared" si="12"/>
        <v>23007.19</v>
      </c>
      <c r="J316" s="2" t="str">
        <f t="shared" si="13"/>
        <v>November</v>
      </c>
      <c r="K316" s="9">
        <f t="shared" si="14"/>
        <v>0.89386078467329111</v>
      </c>
    </row>
    <row r="317" spans="1:11" x14ac:dyDescent="0.35">
      <c r="A317" s="2" t="s">
        <v>1184</v>
      </c>
      <c r="B317" s="4" t="s">
        <v>793</v>
      </c>
      <c r="C317" s="2" t="s">
        <v>15</v>
      </c>
      <c r="D317" s="2" t="s">
        <v>32</v>
      </c>
      <c r="E317" s="2" t="s">
        <v>17</v>
      </c>
      <c r="F317" s="2">
        <v>15915.51</v>
      </c>
      <c r="G317" s="2">
        <v>3350.76</v>
      </c>
      <c r="H317" s="2">
        <v>8</v>
      </c>
      <c r="I317" s="2">
        <f t="shared" si="12"/>
        <v>12564.75</v>
      </c>
      <c r="J317" s="2" t="str">
        <f t="shared" si="13"/>
        <v>March</v>
      </c>
      <c r="K317" s="9">
        <f t="shared" si="14"/>
        <v>0.78946574756322607</v>
      </c>
    </row>
    <row r="318" spans="1:11" x14ac:dyDescent="0.35">
      <c r="A318" s="2" t="s">
        <v>1188</v>
      </c>
      <c r="B318" s="4" t="s">
        <v>140</v>
      </c>
      <c r="C318" s="2" t="s">
        <v>15</v>
      </c>
      <c r="D318" s="2" t="s">
        <v>32</v>
      </c>
      <c r="E318" s="2" t="s">
        <v>17</v>
      </c>
      <c r="F318" s="2">
        <v>45645.59</v>
      </c>
      <c r="G318" s="2">
        <v>13421.2</v>
      </c>
      <c r="H318" s="2">
        <v>10</v>
      </c>
      <c r="I318" s="2">
        <f t="shared" si="12"/>
        <v>32224.389999999996</v>
      </c>
      <c r="J318" s="2" t="str">
        <f t="shared" si="13"/>
        <v>November</v>
      </c>
      <c r="K318" s="9">
        <f t="shared" si="14"/>
        <v>0.70596940471138614</v>
      </c>
    </row>
    <row r="319" spans="1:11" x14ac:dyDescent="0.35">
      <c r="A319" s="2" t="s">
        <v>1190</v>
      </c>
      <c r="B319" s="4" t="s">
        <v>130</v>
      </c>
      <c r="C319" s="2" t="s">
        <v>10</v>
      </c>
      <c r="D319" s="2" t="s">
        <v>32</v>
      </c>
      <c r="E319" s="2" t="s">
        <v>17</v>
      </c>
      <c r="F319" s="2">
        <v>49886.01</v>
      </c>
      <c r="G319" s="2">
        <v>7100.51</v>
      </c>
      <c r="H319" s="2">
        <v>10</v>
      </c>
      <c r="I319" s="2">
        <f t="shared" si="12"/>
        <v>42785.5</v>
      </c>
      <c r="J319" s="2" t="str">
        <f t="shared" si="13"/>
        <v>August</v>
      </c>
      <c r="K319" s="9">
        <f t="shared" si="14"/>
        <v>0.85766530536316687</v>
      </c>
    </row>
    <row r="320" spans="1:11" x14ac:dyDescent="0.35">
      <c r="A320" s="2" t="s">
        <v>1193</v>
      </c>
      <c r="B320" s="4" t="s">
        <v>1194</v>
      </c>
      <c r="C320" s="2" t="s">
        <v>27</v>
      </c>
      <c r="D320" s="2" t="s">
        <v>32</v>
      </c>
      <c r="E320" s="2" t="s">
        <v>12</v>
      </c>
      <c r="F320" s="2">
        <v>4769.55</v>
      </c>
      <c r="G320" s="2">
        <v>333.58</v>
      </c>
      <c r="H320" s="2">
        <v>20</v>
      </c>
      <c r="I320" s="2">
        <f t="shared" si="12"/>
        <v>4435.97</v>
      </c>
      <c r="J320" s="2" t="str">
        <f t="shared" si="13"/>
        <v>April</v>
      </c>
      <c r="K320" s="9">
        <f t="shared" si="14"/>
        <v>0.93006048788669793</v>
      </c>
    </row>
    <row r="321" spans="1:11" x14ac:dyDescent="0.35">
      <c r="A321" s="2" t="s">
        <v>1195</v>
      </c>
      <c r="B321" s="4" t="s">
        <v>1196</v>
      </c>
      <c r="C321" s="2" t="s">
        <v>15</v>
      </c>
      <c r="D321" s="2" t="s">
        <v>32</v>
      </c>
      <c r="E321" s="2" t="s">
        <v>12</v>
      </c>
      <c r="F321" s="2">
        <v>20050.86</v>
      </c>
      <c r="G321" s="2">
        <v>5104.6099999999997</v>
      </c>
      <c r="H321" s="2">
        <v>19</v>
      </c>
      <c r="I321" s="2">
        <f t="shared" si="12"/>
        <v>14946.25</v>
      </c>
      <c r="J321" s="2" t="str">
        <f t="shared" si="13"/>
        <v>May</v>
      </c>
      <c r="K321" s="9">
        <f t="shared" si="14"/>
        <v>0.74541690481106548</v>
      </c>
    </row>
    <row r="322" spans="1:11" x14ac:dyDescent="0.35">
      <c r="A322" s="2" t="s">
        <v>1202</v>
      </c>
      <c r="B322" s="4" t="s">
        <v>731</v>
      </c>
      <c r="C322" s="2" t="s">
        <v>15</v>
      </c>
      <c r="D322" s="2" t="s">
        <v>32</v>
      </c>
      <c r="E322" s="2" t="s">
        <v>21</v>
      </c>
      <c r="F322" s="2">
        <v>40582.25</v>
      </c>
      <c r="G322" s="2">
        <v>11464.55</v>
      </c>
      <c r="H322" s="2">
        <v>7</v>
      </c>
      <c r="I322" s="2">
        <f t="shared" ref="I322:I385" si="15">(F322-G322)</f>
        <v>29117.7</v>
      </c>
      <c r="J322" s="2" t="str">
        <f t="shared" ref="J322:J385" si="16">TEXT(B322,"mmmm")</f>
        <v>February</v>
      </c>
      <c r="K322" s="9">
        <f t="shared" ref="K322:K385" si="17">(F322-G322)/F322</f>
        <v>0.71749841371535583</v>
      </c>
    </row>
    <row r="323" spans="1:11" x14ac:dyDescent="0.35">
      <c r="A323" s="2" t="s">
        <v>1203</v>
      </c>
      <c r="B323" s="4" t="s">
        <v>523</v>
      </c>
      <c r="C323" s="2" t="s">
        <v>31</v>
      </c>
      <c r="D323" s="2" t="s">
        <v>32</v>
      </c>
      <c r="E323" s="2" t="s">
        <v>17</v>
      </c>
      <c r="F323" s="2">
        <v>31949.27</v>
      </c>
      <c r="G323" s="2">
        <v>4792.2700000000004</v>
      </c>
      <c r="H323" s="2">
        <v>11</v>
      </c>
      <c r="I323" s="2">
        <f t="shared" si="15"/>
        <v>27157</v>
      </c>
      <c r="J323" s="2" t="str">
        <f t="shared" si="16"/>
        <v>January</v>
      </c>
      <c r="K323" s="9">
        <f t="shared" si="17"/>
        <v>0.85000377160417118</v>
      </c>
    </row>
    <row r="324" spans="1:11" x14ac:dyDescent="0.35">
      <c r="A324" s="2" t="s">
        <v>1210</v>
      </c>
      <c r="B324" s="4" t="s">
        <v>125</v>
      </c>
      <c r="C324" s="2" t="s">
        <v>31</v>
      </c>
      <c r="D324" s="2" t="s">
        <v>32</v>
      </c>
      <c r="E324" s="2" t="s">
        <v>12</v>
      </c>
      <c r="F324" s="2">
        <v>33003.69</v>
      </c>
      <c r="G324" s="2">
        <v>7533</v>
      </c>
      <c r="H324" s="2">
        <v>11</v>
      </c>
      <c r="I324" s="2">
        <f t="shared" si="15"/>
        <v>25470.690000000002</v>
      </c>
      <c r="J324" s="2" t="str">
        <f t="shared" si="16"/>
        <v>January</v>
      </c>
      <c r="K324" s="9">
        <f t="shared" si="17"/>
        <v>0.77175279491475046</v>
      </c>
    </row>
    <row r="325" spans="1:11" x14ac:dyDescent="0.35">
      <c r="A325" s="2" t="s">
        <v>1221</v>
      </c>
      <c r="B325" s="4" t="s">
        <v>1007</v>
      </c>
      <c r="C325" s="2" t="s">
        <v>15</v>
      </c>
      <c r="D325" s="2" t="s">
        <v>32</v>
      </c>
      <c r="E325" s="2" t="s">
        <v>21</v>
      </c>
      <c r="F325" s="2">
        <v>47774.239999999998</v>
      </c>
      <c r="G325" s="2">
        <v>14229.14</v>
      </c>
      <c r="H325" s="2">
        <v>12</v>
      </c>
      <c r="I325" s="2">
        <f t="shared" si="15"/>
        <v>33545.1</v>
      </c>
      <c r="J325" s="2" t="str">
        <f t="shared" si="16"/>
        <v>April</v>
      </c>
      <c r="K325" s="9">
        <f t="shared" si="17"/>
        <v>0.70215873659110017</v>
      </c>
    </row>
    <row r="326" spans="1:11" x14ac:dyDescent="0.35">
      <c r="A326" s="2" t="s">
        <v>1228</v>
      </c>
      <c r="B326" s="4" t="s">
        <v>180</v>
      </c>
      <c r="C326" s="2" t="s">
        <v>15</v>
      </c>
      <c r="D326" s="2" t="s">
        <v>32</v>
      </c>
      <c r="E326" s="2" t="s">
        <v>17</v>
      </c>
      <c r="F326" s="2">
        <v>49572.4</v>
      </c>
      <c r="G326" s="2">
        <v>6757.8</v>
      </c>
      <c r="H326" s="2">
        <v>7</v>
      </c>
      <c r="I326" s="2">
        <f t="shared" si="15"/>
        <v>42814.6</v>
      </c>
      <c r="J326" s="2" t="str">
        <f t="shared" si="16"/>
        <v>January</v>
      </c>
      <c r="K326" s="9">
        <f t="shared" si="17"/>
        <v>0.86367817575909167</v>
      </c>
    </row>
    <row r="327" spans="1:11" x14ac:dyDescent="0.35">
      <c r="A327" s="2" t="s">
        <v>1234</v>
      </c>
      <c r="B327" s="4" t="s">
        <v>201</v>
      </c>
      <c r="C327" s="2" t="s">
        <v>15</v>
      </c>
      <c r="D327" s="2" t="s">
        <v>32</v>
      </c>
      <c r="E327" s="2" t="s">
        <v>17</v>
      </c>
      <c r="F327" s="2">
        <v>24972.9</v>
      </c>
      <c r="G327" s="2">
        <v>1465.18</v>
      </c>
      <c r="H327" s="2">
        <v>7</v>
      </c>
      <c r="I327" s="2">
        <f t="shared" si="15"/>
        <v>23507.72</v>
      </c>
      <c r="J327" s="2" t="str">
        <f t="shared" si="16"/>
        <v>September</v>
      </c>
      <c r="K327" s="9">
        <f t="shared" si="17"/>
        <v>0.9413292008537254</v>
      </c>
    </row>
    <row r="328" spans="1:11" x14ac:dyDescent="0.35">
      <c r="A328" s="2" t="s">
        <v>1238</v>
      </c>
      <c r="B328" s="4" t="s">
        <v>734</v>
      </c>
      <c r="C328" s="2" t="s">
        <v>27</v>
      </c>
      <c r="D328" s="2" t="s">
        <v>32</v>
      </c>
      <c r="E328" s="2" t="s">
        <v>12</v>
      </c>
      <c r="F328" s="2">
        <v>48914.74</v>
      </c>
      <c r="G328" s="2">
        <v>13774.94</v>
      </c>
      <c r="H328" s="2">
        <v>8</v>
      </c>
      <c r="I328" s="2">
        <f t="shared" si="15"/>
        <v>35139.799999999996</v>
      </c>
      <c r="J328" s="2" t="str">
        <f t="shared" si="16"/>
        <v>February</v>
      </c>
      <c r="K328" s="9">
        <f t="shared" si="17"/>
        <v>0.71838877197343776</v>
      </c>
    </row>
    <row r="329" spans="1:11" x14ac:dyDescent="0.35">
      <c r="A329" s="2" t="s">
        <v>1244</v>
      </c>
      <c r="B329" s="4" t="s">
        <v>517</v>
      </c>
      <c r="C329" s="2" t="s">
        <v>15</v>
      </c>
      <c r="D329" s="2" t="s">
        <v>32</v>
      </c>
      <c r="E329" s="2" t="s">
        <v>21</v>
      </c>
      <c r="F329" s="2">
        <v>15994.29</v>
      </c>
      <c r="G329" s="2">
        <v>2307.65</v>
      </c>
      <c r="H329" s="2">
        <v>9</v>
      </c>
      <c r="I329" s="2">
        <f t="shared" si="15"/>
        <v>13686.640000000001</v>
      </c>
      <c r="J329" s="2" t="str">
        <f t="shared" si="16"/>
        <v>January</v>
      </c>
      <c r="K329" s="9">
        <f t="shared" si="17"/>
        <v>0.85572038521247273</v>
      </c>
    </row>
    <row r="330" spans="1:11" x14ac:dyDescent="0.35">
      <c r="A330" s="2" t="s">
        <v>1245</v>
      </c>
      <c r="B330" s="4" t="s">
        <v>822</v>
      </c>
      <c r="C330" s="2" t="s">
        <v>10</v>
      </c>
      <c r="D330" s="2" t="s">
        <v>32</v>
      </c>
      <c r="E330" s="2" t="s">
        <v>12</v>
      </c>
      <c r="F330" s="2">
        <v>30242.959999999999</v>
      </c>
      <c r="G330" s="2">
        <v>6177.48</v>
      </c>
      <c r="H330" s="2">
        <v>4</v>
      </c>
      <c r="I330" s="2">
        <f t="shared" si="15"/>
        <v>24065.48</v>
      </c>
      <c r="J330" s="2" t="str">
        <f t="shared" si="16"/>
        <v>December</v>
      </c>
      <c r="K330" s="9">
        <f t="shared" si="17"/>
        <v>0.79573824784346503</v>
      </c>
    </row>
    <row r="331" spans="1:11" x14ac:dyDescent="0.35">
      <c r="A331" s="2" t="s">
        <v>1248</v>
      </c>
      <c r="B331" s="4" t="s">
        <v>107</v>
      </c>
      <c r="C331" s="2" t="s">
        <v>31</v>
      </c>
      <c r="D331" s="2" t="s">
        <v>32</v>
      </c>
      <c r="E331" s="2" t="s">
        <v>21</v>
      </c>
      <c r="F331" s="2">
        <v>2471.2399999999998</v>
      </c>
      <c r="G331" s="2">
        <v>290.44</v>
      </c>
      <c r="H331" s="2">
        <v>5</v>
      </c>
      <c r="I331" s="2">
        <f t="shared" si="15"/>
        <v>2180.7999999999997</v>
      </c>
      <c r="J331" s="2" t="str">
        <f t="shared" si="16"/>
        <v>September</v>
      </c>
      <c r="K331" s="9">
        <f t="shared" si="17"/>
        <v>0.88247195739790552</v>
      </c>
    </row>
    <row r="332" spans="1:11" x14ac:dyDescent="0.35">
      <c r="A332" s="2" t="s">
        <v>1251</v>
      </c>
      <c r="B332" s="4" t="s">
        <v>494</v>
      </c>
      <c r="C332" s="2" t="s">
        <v>15</v>
      </c>
      <c r="D332" s="2" t="s">
        <v>32</v>
      </c>
      <c r="E332" s="2" t="s">
        <v>21</v>
      </c>
      <c r="F332" s="2">
        <v>49864.11</v>
      </c>
      <c r="G332" s="2">
        <v>12795.06</v>
      </c>
      <c r="H332" s="2">
        <v>7</v>
      </c>
      <c r="I332" s="2">
        <f t="shared" si="15"/>
        <v>37069.050000000003</v>
      </c>
      <c r="J332" s="2" t="str">
        <f t="shared" si="16"/>
        <v>September</v>
      </c>
      <c r="K332" s="9">
        <f t="shared" si="17"/>
        <v>0.74340141636940882</v>
      </c>
    </row>
    <row r="333" spans="1:11" x14ac:dyDescent="0.35">
      <c r="A333" s="2" t="s">
        <v>1267</v>
      </c>
      <c r="B333" s="4" t="s">
        <v>309</v>
      </c>
      <c r="C333" s="2" t="s">
        <v>15</v>
      </c>
      <c r="D333" s="2" t="s">
        <v>32</v>
      </c>
      <c r="E333" s="2" t="s">
        <v>21</v>
      </c>
      <c r="F333" s="2">
        <v>10553.04</v>
      </c>
      <c r="G333" s="2">
        <v>2896.6</v>
      </c>
      <c r="H333" s="2">
        <v>12</v>
      </c>
      <c r="I333" s="2">
        <f t="shared" si="15"/>
        <v>7656.4400000000005</v>
      </c>
      <c r="J333" s="2" t="str">
        <f t="shared" si="16"/>
        <v>September</v>
      </c>
      <c r="K333" s="9">
        <f t="shared" si="17"/>
        <v>0.72551985020430132</v>
      </c>
    </row>
    <row r="334" spans="1:11" x14ac:dyDescent="0.35">
      <c r="A334" s="2" t="s">
        <v>1274</v>
      </c>
      <c r="B334" s="4" t="s">
        <v>989</v>
      </c>
      <c r="C334" s="2" t="s">
        <v>10</v>
      </c>
      <c r="D334" s="2" t="s">
        <v>32</v>
      </c>
      <c r="E334" s="2" t="s">
        <v>12</v>
      </c>
      <c r="F334" s="2">
        <v>45353.89</v>
      </c>
      <c r="G334" s="2">
        <v>10981.42</v>
      </c>
      <c r="H334" s="2">
        <v>11</v>
      </c>
      <c r="I334" s="2">
        <f t="shared" si="15"/>
        <v>34372.47</v>
      </c>
      <c r="J334" s="2" t="str">
        <f t="shared" si="16"/>
        <v>May</v>
      </c>
      <c r="K334" s="9">
        <f t="shared" si="17"/>
        <v>0.75787258821679904</v>
      </c>
    </row>
    <row r="335" spans="1:11" x14ac:dyDescent="0.35">
      <c r="A335" s="2" t="s">
        <v>1287</v>
      </c>
      <c r="B335" s="4" t="s">
        <v>650</v>
      </c>
      <c r="C335" s="2" t="s">
        <v>10</v>
      </c>
      <c r="D335" s="2" t="s">
        <v>32</v>
      </c>
      <c r="E335" s="2" t="s">
        <v>12</v>
      </c>
      <c r="F335" s="2">
        <v>21680.46</v>
      </c>
      <c r="G335" s="2">
        <v>5454.05</v>
      </c>
      <c r="H335" s="2">
        <v>12</v>
      </c>
      <c r="I335" s="2">
        <f t="shared" si="15"/>
        <v>16226.41</v>
      </c>
      <c r="J335" s="2" t="str">
        <f t="shared" si="16"/>
        <v>July</v>
      </c>
      <c r="K335" s="9">
        <f t="shared" si="17"/>
        <v>0.74843476568301592</v>
      </c>
    </row>
    <row r="336" spans="1:11" x14ac:dyDescent="0.35">
      <c r="A336" s="2" t="s">
        <v>1292</v>
      </c>
      <c r="B336" s="4" t="s">
        <v>764</v>
      </c>
      <c r="C336" s="2" t="s">
        <v>31</v>
      </c>
      <c r="D336" s="2" t="s">
        <v>32</v>
      </c>
      <c r="E336" s="2" t="s">
        <v>21</v>
      </c>
      <c r="F336" s="2">
        <v>21803</v>
      </c>
      <c r="G336" s="2">
        <v>5907.03</v>
      </c>
      <c r="H336" s="2">
        <v>15</v>
      </c>
      <c r="I336" s="2">
        <f t="shared" si="15"/>
        <v>15895.970000000001</v>
      </c>
      <c r="J336" s="2" t="str">
        <f t="shared" si="16"/>
        <v>May</v>
      </c>
      <c r="K336" s="9">
        <f t="shared" si="17"/>
        <v>0.7290726046874284</v>
      </c>
    </row>
    <row r="337" spans="1:11" x14ac:dyDescent="0.35">
      <c r="A337" s="2" t="s">
        <v>1299</v>
      </c>
      <c r="B337" s="4" t="s">
        <v>199</v>
      </c>
      <c r="C337" s="2" t="s">
        <v>10</v>
      </c>
      <c r="D337" s="2" t="s">
        <v>32</v>
      </c>
      <c r="E337" s="2" t="s">
        <v>17</v>
      </c>
      <c r="F337" s="2">
        <v>39290.01</v>
      </c>
      <c r="G337" s="2">
        <v>2872.42</v>
      </c>
      <c r="H337" s="2">
        <v>7</v>
      </c>
      <c r="I337" s="2">
        <f t="shared" si="15"/>
        <v>36417.590000000004</v>
      </c>
      <c r="J337" s="2" t="str">
        <f t="shared" si="16"/>
        <v>December</v>
      </c>
      <c r="K337" s="9">
        <f t="shared" si="17"/>
        <v>0.92689184858950158</v>
      </c>
    </row>
    <row r="338" spans="1:11" x14ac:dyDescent="0.35">
      <c r="A338" s="2" t="s">
        <v>1300</v>
      </c>
      <c r="B338" s="4" t="s">
        <v>662</v>
      </c>
      <c r="C338" s="2" t="s">
        <v>27</v>
      </c>
      <c r="D338" s="2" t="s">
        <v>32</v>
      </c>
      <c r="E338" s="2" t="s">
        <v>17</v>
      </c>
      <c r="F338" s="2">
        <v>17645.66</v>
      </c>
      <c r="G338" s="2">
        <v>1927.44</v>
      </c>
      <c r="H338" s="2">
        <v>5</v>
      </c>
      <c r="I338" s="2">
        <f t="shared" si="15"/>
        <v>15718.22</v>
      </c>
      <c r="J338" s="2" t="str">
        <f t="shared" si="16"/>
        <v>October</v>
      </c>
      <c r="K338" s="9">
        <f t="shared" si="17"/>
        <v>0.8907697416815239</v>
      </c>
    </row>
    <row r="339" spans="1:11" x14ac:dyDescent="0.35">
      <c r="A339" s="2" t="s">
        <v>1320</v>
      </c>
      <c r="B339" s="4" t="s">
        <v>1321</v>
      </c>
      <c r="C339" s="2" t="s">
        <v>27</v>
      </c>
      <c r="D339" s="2" t="s">
        <v>32</v>
      </c>
      <c r="E339" s="2" t="s">
        <v>17</v>
      </c>
      <c r="F339" s="2">
        <v>12674.69</v>
      </c>
      <c r="G339" s="2">
        <v>1655.5</v>
      </c>
      <c r="H339" s="2">
        <v>17</v>
      </c>
      <c r="I339" s="2">
        <f t="shared" si="15"/>
        <v>11019.19</v>
      </c>
      <c r="J339" s="2" t="str">
        <f t="shared" si="16"/>
        <v>March</v>
      </c>
      <c r="K339" s="9">
        <f t="shared" si="17"/>
        <v>0.86938536563813396</v>
      </c>
    </row>
    <row r="340" spans="1:11" x14ac:dyDescent="0.35">
      <c r="A340" s="2" t="s">
        <v>1337</v>
      </c>
      <c r="B340" s="4" t="s">
        <v>153</v>
      </c>
      <c r="C340" s="2" t="s">
        <v>27</v>
      </c>
      <c r="D340" s="2" t="s">
        <v>32</v>
      </c>
      <c r="E340" s="2" t="s">
        <v>21</v>
      </c>
      <c r="F340" s="2">
        <v>20280.48</v>
      </c>
      <c r="G340" s="2">
        <v>4712.83</v>
      </c>
      <c r="H340" s="2">
        <v>10</v>
      </c>
      <c r="I340" s="2">
        <f t="shared" si="15"/>
        <v>15567.65</v>
      </c>
      <c r="J340" s="2" t="str">
        <f t="shared" si="16"/>
        <v>March</v>
      </c>
      <c r="K340" s="9">
        <f t="shared" si="17"/>
        <v>0.76761743311795383</v>
      </c>
    </row>
    <row r="341" spans="1:11" x14ac:dyDescent="0.35">
      <c r="A341" s="2" t="s">
        <v>1340</v>
      </c>
      <c r="B341" s="4" t="s">
        <v>80</v>
      </c>
      <c r="C341" s="2" t="s">
        <v>31</v>
      </c>
      <c r="D341" s="2" t="s">
        <v>32</v>
      </c>
      <c r="E341" s="2" t="s">
        <v>21</v>
      </c>
      <c r="F341" s="2">
        <v>39902.5</v>
      </c>
      <c r="G341" s="2">
        <v>6373.25</v>
      </c>
      <c r="H341" s="2">
        <v>15</v>
      </c>
      <c r="I341" s="2">
        <f t="shared" si="15"/>
        <v>33529.25</v>
      </c>
      <c r="J341" s="2" t="str">
        <f t="shared" si="16"/>
        <v>June</v>
      </c>
      <c r="K341" s="9">
        <f t="shared" si="17"/>
        <v>0.8402794311133388</v>
      </c>
    </row>
    <row r="342" spans="1:11" x14ac:dyDescent="0.35">
      <c r="A342" s="2" t="s">
        <v>1343</v>
      </c>
      <c r="B342" s="4" t="s">
        <v>358</v>
      </c>
      <c r="C342" s="2" t="s">
        <v>27</v>
      </c>
      <c r="D342" s="2" t="s">
        <v>32</v>
      </c>
      <c r="E342" s="2" t="s">
        <v>12</v>
      </c>
      <c r="F342" s="2">
        <v>15222.53</v>
      </c>
      <c r="G342" s="2">
        <v>1771.28</v>
      </c>
      <c r="H342" s="2">
        <v>7</v>
      </c>
      <c r="I342" s="2">
        <f t="shared" si="15"/>
        <v>13451.25</v>
      </c>
      <c r="J342" s="2" t="str">
        <f t="shared" si="16"/>
        <v>September</v>
      </c>
      <c r="K342" s="9">
        <f t="shared" si="17"/>
        <v>0.88364089280822566</v>
      </c>
    </row>
    <row r="343" spans="1:11" x14ac:dyDescent="0.35">
      <c r="A343" s="2" t="s">
        <v>1350</v>
      </c>
      <c r="B343" s="4" t="s">
        <v>178</v>
      </c>
      <c r="C343" s="2" t="s">
        <v>10</v>
      </c>
      <c r="D343" s="2" t="s">
        <v>32</v>
      </c>
      <c r="E343" s="2" t="s">
        <v>17</v>
      </c>
      <c r="F343" s="2">
        <v>48677.22</v>
      </c>
      <c r="G343" s="2">
        <v>3713.45</v>
      </c>
      <c r="H343" s="2">
        <v>16</v>
      </c>
      <c r="I343" s="2">
        <f t="shared" si="15"/>
        <v>44963.770000000004</v>
      </c>
      <c r="J343" s="2" t="str">
        <f t="shared" si="16"/>
        <v>January</v>
      </c>
      <c r="K343" s="9">
        <f t="shared" si="17"/>
        <v>0.92371277570904831</v>
      </c>
    </row>
    <row r="344" spans="1:11" x14ac:dyDescent="0.35">
      <c r="A344" s="2" t="s">
        <v>1355</v>
      </c>
      <c r="B344" s="4" t="s">
        <v>734</v>
      </c>
      <c r="C344" s="2" t="s">
        <v>10</v>
      </c>
      <c r="D344" s="2" t="s">
        <v>32</v>
      </c>
      <c r="E344" s="2" t="s">
        <v>17</v>
      </c>
      <c r="F344" s="2">
        <v>31924.080000000002</v>
      </c>
      <c r="G344" s="2">
        <v>2883.93</v>
      </c>
      <c r="H344" s="2">
        <v>2</v>
      </c>
      <c r="I344" s="2">
        <f t="shared" si="15"/>
        <v>29040.15</v>
      </c>
      <c r="J344" s="2" t="str">
        <f t="shared" si="16"/>
        <v>February</v>
      </c>
      <c r="K344" s="9">
        <f t="shared" si="17"/>
        <v>0.90966286264161722</v>
      </c>
    </row>
    <row r="345" spans="1:11" x14ac:dyDescent="0.35">
      <c r="A345" s="2" t="s">
        <v>13</v>
      </c>
      <c r="B345" s="4" t="s">
        <v>14</v>
      </c>
      <c r="C345" s="2" t="s">
        <v>15</v>
      </c>
      <c r="D345" s="2" t="s">
        <v>16</v>
      </c>
      <c r="E345" s="2" t="s">
        <v>17</v>
      </c>
      <c r="F345" s="2">
        <v>46461.3</v>
      </c>
      <c r="G345" s="2">
        <v>6523.49</v>
      </c>
      <c r="H345" s="2">
        <v>3</v>
      </c>
      <c r="I345" s="2">
        <f t="shared" si="15"/>
        <v>39937.810000000005</v>
      </c>
      <c r="J345" s="2" t="str">
        <f t="shared" si="16"/>
        <v>August</v>
      </c>
      <c r="K345" s="9">
        <f t="shared" si="17"/>
        <v>0.85959303764638528</v>
      </c>
    </row>
    <row r="346" spans="1:11" x14ac:dyDescent="0.35">
      <c r="A346" s="2" t="s">
        <v>37</v>
      </c>
      <c r="B346" s="4" t="s">
        <v>38</v>
      </c>
      <c r="C346" s="2" t="s">
        <v>27</v>
      </c>
      <c r="D346" s="2" t="s">
        <v>16</v>
      </c>
      <c r="E346" s="2" t="s">
        <v>17</v>
      </c>
      <c r="F346" s="2">
        <v>45690.74</v>
      </c>
      <c r="G346" s="2">
        <v>8897.65</v>
      </c>
      <c r="H346" s="2">
        <v>17</v>
      </c>
      <c r="I346" s="2">
        <f t="shared" si="15"/>
        <v>36793.089999999997</v>
      </c>
      <c r="J346" s="2" t="str">
        <f t="shared" si="16"/>
        <v>May</v>
      </c>
      <c r="K346" s="9">
        <f t="shared" si="17"/>
        <v>0.80526360483546555</v>
      </c>
    </row>
    <row r="347" spans="1:11" x14ac:dyDescent="0.35">
      <c r="A347" s="2" t="s">
        <v>53</v>
      </c>
      <c r="B347" s="4" t="s">
        <v>54</v>
      </c>
      <c r="C347" s="2" t="s">
        <v>27</v>
      </c>
      <c r="D347" s="2" t="s">
        <v>16</v>
      </c>
      <c r="E347" s="2" t="s">
        <v>17</v>
      </c>
      <c r="F347" s="2">
        <v>9548.91</v>
      </c>
      <c r="G347" s="2">
        <v>1983.86</v>
      </c>
      <c r="H347" s="2">
        <v>1</v>
      </c>
      <c r="I347" s="2">
        <f t="shared" si="15"/>
        <v>7565.05</v>
      </c>
      <c r="J347" s="2" t="str">
        <f t="shared" si="16"/>
        <v>January</v>
      </c>
      <c r="K347" s="9">
        <f t="shared" si="17"/>
        <v>0.79224225592240372</v>
      </c>
    </row>
    <row r="348" spans="1:11" x14ac:dyDescent="0.35">
      <c r="A348" s="2" t="s">
        <v>61</v>
      </c>
      <c r="B348" s="4" t="s">
        <v>62</v>
      </c>
      <c r="C348" s="2" t="s">
        <v>10</v>
      </c>
      <c r="D348" s="2" t="s">
        <v>16</v>
      </c>
      <c r="E348" s="2" t="s">
        <v>12</v>
      </c>
      <c r="F348" s="2">
        <v>20644.86</v>
      </c>
      <c r="G348" s="2">
        <v>4471.41</v>
      </c>
      <c r="H348" s="2">
        <v>8</v>
      </c>
      <c r="I348" s="2">
        <f t="shared" si="15"/>
        <v>16173.45</v>
      </c>
      <c r="J348" s="2" t="str">
        <f t="shared" si="16"/>
        <v>January</v>
      </c>
      <c r="K348" s="9">
        <f t="shared" si="17"/>
        <v>0.78341291730726192</v>
      </c>
    </row>
    <row r="349" spans="1:11" x14ac:dyDescent="0.35">
      <c r="A349" s="2" t="s">
        <v>77</v>
      </c>
      <c r="B349" s="4" t="s">
        <v>78</v>
      </c>
      <c r="C349" s="2" t="s">
        <v>10</v>
      </c>
      <c r="D349" s="2" t="s">
        <v>16</v>
      </c>
      <c r="E349" s="2" t="s">
        <v>21</v>
      </c>
      <c r="F349" s="2">
        <v>17122.349999999999</v>
      </c>
      <c r="G349" s="2">
        <v>1383.65</v>
      </c>
      <c r="H349" s="2">
        <v>11</v>
      </c>
      <c r="I349" s="2">
        <f t="shared" si="15"/>
        <v>15738.699999999999</v>
      </c>
      <c r="J349" s="2" t="str">
        <f t="shared" si="16"/>
        <v>August</v>
      </c>
      <c r="K349" s="9">
        <f t="shared" si="17"/>
        <v>0.91919041486711817</v>
      </c>
    </row>
    <row r="350" spans="1:11" x14ac:dyDescent="0.35">
      <c r="A350" s="2" t="s">
        <v>94</v>
      </c>
      <c r="B350" s="4" t="s">
        <v>95</v>
      </c>
      <c r="C350" s="2" t="s">
        <v>27</v>
      </c>
      <c r="D350" s="2" t="s">
        <v>16</v>
      </c>
      <c r="E350" s="2" t="s">
        <v>21</v>
      </c>
      <c r="F350" s="2">
        <v>12043.18</v>
      </c>
      <c r="G350" s="2">
        <v>951.49</v>
      </c>
      <c r="H350" s="2">
        <v>8</v>
      </c>
      <c r="I350" s="2">
        <f t="shared" si="15"/>
        <v>11091.69</v>
      </c>
      <c r="J350" s="2" t="str">
        <f t="shared" si="16"/>
        <v>February</v>
      </c>
      <c r="K350" s="9">
        <f t="shared" si="17"/>
        <v>0.92099345853835946</v>
      </c>
    </row>
    <row r="351" spans="1:11" x14ac:dyDescent="0.35">
      <c r="A351" s="2" t="s">
        <v>98</v>
      </c>
      <c r="B351" s="4" t="s">
        <v>99</v>
      </c>
      <c r="C351" s="2" t="s">
        <v>15</v>
      </c>
      <c r="D351" s="2" t="s">
        <v>16</v>
      </c>
      <c r="E351" s="2" t="s">
        <v>21</v>
      </c>
      <c r="F351" s="2">
        <v>35522.160000000003</v>
      </c>
      <c r="G351" s="2">
        <v>6751.39</v>
      </c>
      <c r="H351" s="2">
        <v>12</v>
      </c>
      <c r="I351" s="2">
        <f t="shared" si="15"/>
        <v>28770.770000000004</v>
      </c>
      <c r="J351" s="2" t="str">
        <f t="shared" si="16"/>
        <v>July</v>
      </c>
      <c r="K351" s="9">
        <f t="shared" si="17"/>
        <v>0.80993864111867075</v>
      </c>
    </row>
    <row r="352" spans="1:11" x14ac:dyDescent="0.35">
      <c r="A352" s="2" t="s">
        <v>145</v>
      </c>
      <c r="B352" s="4" t="s">
        <v>146</v>
      </c>
      <c r="C352" s="2" t="s">
        <v>27</v>
      </c>
      <c r="D352" s="2" t="s">
        <v>16</v>
      </c>
      <c r="E352" s="2" t="s">
        <v>17</v>
      </c>
      <c r="F352" s="2">
        <v>48189</v>
      </c>
      <c r="G352" s="2">
        <v>8889.7800000000007</v>
      </c>
      <c r="H352" s="2">
        <v>5</v>
      </c>
      <c r="I352" s="2">
        <f t="shared" si="15"/>
        <v>39299.22</v>
      </c>
      <c r="J352" s="2" t="str">
        <f t="shared" si="16"/>
        <v>August</v>
      </c>
      <c r="K352" s="9">
        <f t="shared" si="17"/>
        <v>0.81552262964576983</v>
      </c>
    </row>
    <row r="353" spans="1:11" x14ac:dyDescent="0.35">
      <c r="A353" s="2" t="s">
        <v>154</v>
      </c>
      <c r="B353" s="4" t="s">
        <v>155</v>
      </c>
      <c r="C353" s="2" t="s">
        <v>15</v>
      </c>
      <c r="D353" s="2" t="s">
        <v>16</v>
      </c>
      <c r="E353" s="2" t="s">
        <v>17</v>
      </c>
      <c r="F353" s="2">
        <v>22833.31</v>
      </c>
      <c r="G353" s="2">
        <v>6447.59</v>
      </c>
      <c r="H353" s="2">
        <v>12</v>
      </c>
      <c r="I353" s="2">
        <f t="shared" si="15"/>
        <v>16385.72</v>
      </c>
      <c r="J353" s="2" t="str">
        <f t="shared" si="16"/>
        <v>July</v>
      </c>
      <c r="K353" s="9">
        <f t="shared" si="17"/>
        <v>0.71762350706051814</v>
      </c>
    </row>
    <row r="354" spans="1:11" x14ac:dyDescent="0.35">
      <c r="A354" s="2" t="s">
        <v>169</v>
      </c>
      <c r="B354" s="4" t="s">
        <v>101</v>
      </c>
      <c r="C354" s="2" t="s">
        <v>27</v>
      </c>
      <c r="D354" s="2" t="s">
        <v>16</v>
      </c>
      <c r="E354" s="2" t="s">
        <v>12</v>
      </c>
      <c r="F354" s="2">
        <v>19637.509999999998</v>
      </c>
      <c r="G354" s="2">
        <v>2444.86</v>
      </c>
      <c r="H354" s="2">
        <v>11</v>
      </c>
      <c r="I354" s="2">
        <f t="shared" si="15"/>
        <v>17192.649999999998</v>
      </c>
      <c r="J354" s="2" t="str">
        <f t="shared" si="16"/>
        <v>January</v>
      </c>
      <c r="K354" s="9">
        <f t="shared" si="17"/>
        <v>0.87550050897491583</v>
      </c>
    </row>
    <row r="355" spans="1:11" x14ac:dyDescent="0.35">
      <c r="A355" s="2" t="s">
        <v>181</v>
      </c>
      <c r="B355" s="4" t="s">
        <v>182</v>
      </c>
      <c r="C355" s="2" t="s">
        <v>27</v>
      </c>
      <c r="D355" s="2" t="s">
        <v>16</v>
      </c>
      <c r="E355" s="2" t="s">
        <v>12</v>
      </c>
      <c r="F355" s="2">
        <v>21611.85</v>
      </c>
      <c r="G355" s="2">
        <v>1126.4100000000001</v>
      </c>
      <c r="H355" s="2">
        <v>11</v>
      </c>
      <c r="I355" s="2">
        <f t="shared" si="15"/>
        <v>20485.439999999999</v>
      </c>
      <c r="J355" s="2" t="str">
        <f t="shared" si="16"/>
        <v>January</v>
      </c>
      <c r="K355" s="9">
        <f t="shared" si="17"/>
        <v>0.94787998250959549</v>
      </c>
    </row>
    <row r="356" spans="1:11" x14ac:dyDescent="0.35">
      <c r="A356" s="2" t="s">
        <v>202</v>
      </c>
      <c r="B356" s="4" t="s">
        <v>46</v>
      </c>
      <c r="C356" s="2" t="s">
        <v>10</v>
      </c>
      <c r="D356" s="2" t="s">
        <v>16</v>
      </c>
      <c r="E356" s="2" t="s">
        <v>21</v>
      </c>
      <c r="F356" s="2">
        <v>38489.49</v>
      </c>
      <c r="G356" s="2">
        <v>7243.08</v>
      </c>
      <c r="H356" s="2">
        <v>8</v>
      </c>
      <c r="I356" s="2">
        <f t="shared" si="15"/>
        <v>31246.409999999996</v>
      </c>
      <c r="J356" s="2" t="str">
        <f t="shared" si="16"/>
        <v>October</v>
      </c>
      <c r="K356" s="9">
        <f t="shared" si="17"/>
        <v>0.81181668034572552</v>
      </c>
    </row>
    <row r="357" spans="1:11" x14ac:dyDescent="0.35">
      <c r="A357" s="2" t="s">
        <v>214</v>
      </c>
      <c r="B357" s="4" t="s">
        <v>215</v>
      </c>
      <c r="C357" s="2" t="s">
        <v>15</v>
      </c>
      <c r="D357" s="2" t="s">
        <v>16</v>
      </c>
      <c r="E357" s="2" t="s">
        <v>17</v>
      </c>
      <c r="F357" s="2">
        <v>48464.4</v>
      </c>
      <c r="G357" s="2">
        <v>5898.63</v>
      </c>
      <c r="H357" s="2">
        <v>12</v>
      </c>
      <c r="I357" s="2">
        <f t="shared" si="15"/>
        <v>42565.770000000004</v>
      </c>
      <c r="J357" s="2" t="str">
        <f t="shared" si="16"/>
        <v>October</v>
      </c>
      <c r="K357" s="9">
        <f t="shared" si="17"/>
        <v>0.87828942481491579</v>
      </c>
    </row>
    <row r="358" spans="1:11" x14ac:dyDescent="0.35">
      <c r="A358" s="2" t="s">
        <v>216</v>
      </c>
      <c r="B358" s="4" t="s">
        <v>217</v>
      </c>
      <c r="C358" s="2" t="s">
        <v>27</v>
      </c>
      <c r="D358" s="2" t="s">
        <v>16</v>
      </c>
      <c r="E358" s="2" t="s">
        <v>17</v>
      </c>
      <c r="F358" s="2">
        <v>37477.65</v>
      </c>
      <c r="G358" s="2">
        <v>2991.22</v>
      </c>
      <c r="H358" s="2">
        <v>7</v>
      </c>
      <c r="I358" s="2">
        <f t="shared" si="15"/>
        <v>34486.43</v>
      </c>
      <c r="J358" s="2" t="str">
        <f t="shared" si="16"/>
        <v>July</v>
      </c>
      <c r="K358" s="9">
        <f t="shared" si="17"/>
        <v>0.92018656452579073</v>
      </c>
    </row>
    <row r="359" spans="1:11" x14ac:dyDescent="0.35">
      <c r="A359" s="2" t="s">
        <v>233</v>
      </c>
      <c r="B359" s="4" t="s">
        <v>234</v>
      </c>
      <c r="C359" s="2" t="s">
        <v>10</v>
      </c>
      <c r="D359" s="2" t="s">
        <v>16</v>
      </c>
      <c r="E359" s="2" t="s">
        <v>12</v>
      </c>
      <c r="F359" s="2">
        <v>9516.8799999999992</v>
      </c>
      <c r="G359" s="2">
        <v>1718.01</v>
      </c>
      <c r="H359" s="2">
        <v>4</v>
      </c>
      <c r="I359" s="2">
        <f t="shared" si="15"/>
        <v>7798.869999999999</v>
      </c>
      <c r="J359" s="2" t="str">
        <f t="shared" si="16"/>
        <v>October</v>
      </c>
      <c r="K359" s="9">
        <f t="shared" si="17"/>
        <v>0.81947760190314467</v>
      </c>
    </row>
    <row r="360" spans="1:11" x14ac:dyDescent="0.35">
      <c r="A360" s="2" t="s">
        <v>249</v>
      </c>
      <c r="B360" s="4" t="s">
        <v>250</v>
      </c>
      <c r="C360" s="2" t="s">
        <v>10</v>
      </c>
      <c r="D360" s="2" t="s">
        <v>16</v>
      </c>
      <c r="E360" s="2" t="s">
        <v>12</v>
      </c>
      <c r="F360" s="2">
        <v>4224.42</v>
      </c>
      <c r="G360" s="2">
        <v>1129.92</v>
      </c>
      <c r="H360" s="2">
        <v>3</v>
      </c>
      <c r="I360" s="2">
        <f t="shared" si="15"/>
        <v>3094.5</v>
      </c>
      <c r="J360" s="2" t="str">
        <f t="shared" si="16"/>
        <v>February</v>
      </c>
      <c r="K360" s="9">
        <f t="shared" si="17"/>
        <v>0.73252659536693798</v>
      </c>
    </row>
    <row r="361" spans="1:11" x14ac:dyDescent="0.35">
      <c r="A361" s="2" t="s">
        <v>252</v>
      </c>
      <c r="B361" s="4" t="s">
        <v>253</v>
      </c>
      <c r="C361" s="2" t="s">
        <v>15</v>
      </c>
      <c r="D361" s="2" t="s">
        <v>16</v>
      </c>
      <c r="E361" s="2" t="s">
        <v>21</v>
      </c>
      <c r="F361" s="2">
        <v>48647.13</v>
      </c>
      <c r="G361" s="2">
        <v>12545.95</v>
      </c>
      <c r="H361" s="2">
        <v>17</v>
      </c>
      <c r="I361" s="2">
        <f t="shared" si="15"/>
        <v>36101.179999999993</v>
      </c>
      <c r="J361" s="2" t="str">
        <f t="shared" si="16"/>
        <v>June</v>
      </c>
      <c r="K361" s="9">
        <f t="shared" si="17"/>
        <v>0.74210297709237927</v>
      </c>
    </row>
    <row r="362" spans="1:11" x14ac:dyDescent="0.35">
      <c r="A362" s="2" t="s">
        <v>267</v>
      </c>
      <c r="B362" s="4" t="s">
        <v>268</v>
      </c>
      <c r="C362" s="2" t="s">
        <v>27</v>
      </c>
      <c r="D362" s="2" t="s">
        <v>16</v>
      </c>
      <c r="E362" s="2" t="s">
        <v>21</v>
      </c>
      <c r="F362" s="2">
        <v>17652.810000000001</v>
      </c>
      <c r="G362" s="2">
        <v>2368.71</v>
      </c>
      <c r="H362" s="2">
        <v>8</v>
      </c>
      <c r="I362" s="2">
        <f t="shared" si="15"/>
        <v>15284.100000000002</v>
      </c>
      <c r="J362" s="2" t="str">
        <f t="shared" si="16"/>
        <v>June</v>
      </c>
      <c r="K362" s="9">
        <f t="shared" si="17"/>
        <v>0.86581683029500689</v>
      </c>
    </row>
    <row r="363" spans="1:11" x14ac:dyDescent="0.35">
      <c r="A363" s="2" t="s">
        <v>272</v>
      </c>
      <c r="B363" s="4" t="s">
        <v>273</v>
      </c>
      <c r="C363" s="2" t="s">
        <v>10</v>
      </c>
      <c r="D363" s="2" t="s">
        <v>16</v>
      </c>
      <c r="E363" s="2" t="s">
        <v>12</v>
      </c>
      <c r="F363" s="2">
        <v>21670.41</v>
      </c>
      <c r="G363" s="2">
        <v>5284.47</v>
      </c>
      <c r="H363" s="2">
        <v>7</v>
      </c>
      <c r="I363" s="2">
        <f t="shared" si="15"/>
        <v>16385.939999999999</v>
      </c>
      <c r="J363" s="2" t="str">
        <f t="shared" si="16"/>
        <v>September</v>
      </c>
      <c r="K363" s="9">
        <f t="shared" si="17"/>
        <v>0.75614351551262748</v>
      </c>
    </row>
    <row r="364" spans="1:11" x14ac:dyDescent="0.35">
      <c r="A364" s="2" t="s">
        <v>281</v>
      </c>
      <c r="B364" s="4" t="s">
        <v>282</v>
      </c>
      <c r="C364" s="2" t="s">
        <v>15</v>
      </c>
      <c r="D364" s="2" t="s">
        <v>16</v>
      </c>
      <c r="E364" s="2" t="s">
        <v>17</v>
      </c>
      <c r="F364" s="2">
        <v>41960.31</v>
      </c>
      <c r="G364" s="2">
        <v>5888.68</v>
      </c>
      <c r="H364" s="2">
        <v>14</v>
      </c>
      <c r="I364" s="2">
        <f t="shared" si="15"/>
        <v>36071.629999999997</v>
      </c>
      <c r="J364" s="2" t="str">
        <f t="shared" si="16"/>
        <v>June</v>
      </c>
      <c r="K364" s="9">
        <f t="shared" si="17"/>
        <v>0.8596607127068413</v>
      </c>
    </row>
    <row r="365" spans="1:11" x14ac:dyDescent="0.35">
      <c r="A365" s="2" t="s">
        <v>293</v>
      </c>
      <c r="B365" s="4" t="s">
        <v>294</v>
      </c>
      <c r="C365" s="2" t="s">
        <v>27</v>
      </c>
      <c r="D365" s="2" t="s">
        <v>16</v>
      </c>
      <c r="E365" s="2" t="s">
        <v>21</v>
      </c>
      <c r="F365" s="2">
        <v>16356.59</v>
      </c>
      <c r="G365" s="2">
        <v>1834.3</v>
      </c>
      <c r="H365" s="2">
        <v>2</v>
      </c>
      <c r="I365" s="2">
        <f t="shared" si="15"/>
        <v>14522.29</v>
      </c>
      <c r="J365" s="2" t="str">
        <f t="shared" si="16"/>
        <v>June</v>
      </c>
      <c r="K365" s="9">
        <f t="shared" si="17"/>
        <v>0.88785559826345228</v>
      </c>
    </row>
    <row r="366" spans="1:11" x14ac:dyDescent="0.35">
      <c r="A366" s="2" t="s">
        <v>296</v>
      </c>
      <c r="B366" s="4" t="s">
        <v>297</v>
      </c>
      <c r="C366" s="2" t="s">
        <v>15</v>
      </c>
      <c r="D366" s="2" t="s">
        <v>16</v>
      </c>
      <c r="E366" s="2" t="s">
        <v>17</v>
      </c>
      <c r="F366" s="2">
        <v>27209.4</v>
      </c>
      <c r="G366" s="2">
        <v>5127.6000000000004</v>
      </c>
      <c r="H366" s="2">
        <v>17</v>
      </c>
      <c r="I366" s="2">
        <f t="shared" si="15"/>
        <v>22081.800000000003</v>
      </c>
      <c r="J366" s="2" t="str">
        <f t="shared" si="16"/>
        <v>October</v>
      </c>
      <c r="K366" s="9">
        <f t="shared" si="17"/>
        <v>0.81155042007541522</v>
      </c>
    </row>
    <row r="367" spans="1:11" x14ac:dyDescent="0.35">
      <c r="A367" s="2" t="s">
        <v>306</v>
      </c>
      <c r="B367" s="4" t="s">
        <v>307</v>
      </c>
      <c r="C367" s="2" t="s">
        <v>15</v>
      </c>
      <c r="D367" s="2" t="s">
        <v>16</v>
      </c>
      <c r="E367" s="2" t="s">
        <v>21</v>
      </c>
      <c r="F367" s="2">
        <v>10602.35</v>
      </c>
      <c r="G367" s="2">
        <v>707.23</v>
      </c>
      <c r="H367" s="2">
        <v>8</v>
      </c>
      <c r="I367" s="2">
        <f t="shared" si="15"/>
        <v>9895.1200000000008</v>
      </c>
      <c r="J367" s="2" t="str">
        <f t="shared" si="16"/>
        <v>January</v>
      </c>
      <c r="K367" s="9">
        <f t="shared" si="17"/>
        <v>0.93329497705697329</v>
      </c>
    </row>
    <row r="368" spans="1:11" x14ac:dyDescent="0.35">
      <c r="A368" s="2" t="s">
        <v>310</v>
      </c>
      <c r="B368" s="4" t="s">
        <v>311</v>
      </c>
      <c r="C368" s="2" t="s">
        <v>31</v>
      </c>
      <c r="D368" s="2" t="s">
        <v>16</v>
      </c>
      <c r="E368" s="2" t="s">
        <v>17</v>
      </c>
      <c r="F368" s="2">
        <v>23591.54</v>
      </c>
      <c r="G368" s="2">
        <v>6321.8</v>
      </c>
      <c r="H368" s="2">
        <v>19</v>
      </c>
      <c r="I368" s="2">
        <f t="shared" si="15"/>
        <v>17269.740000000002</v>
      </c>
      <c r="J368" s="2" t="str">
        <f t="shared" si="16"/>
        <v>June</v>
      </c>
      <c r="K368" s="9">
        <f t="shared" si="17"/>
        <v>0.73203105859134254</v>
      </c>
    </row>
    <row r="369" spans="1:11" x14ac:dyDescent="0.35">
      <c r="A369" s="2" t="s">
        <v>347</v>
      </c>
      <c r="B369" s="4" t="s">
        <v>348</v>
      </c>
      <c r="C369" s="2" t="s">
        <v>31</v>
      </c>
      <c r="D369" s="2" t="s">
        <v>16</v>
      </c>
      <c r="E369" s="2" t="s">
        <v>12</v>
      </c>
      <c r="F369" s="2">
        <v>6272.25</v>
      </c>
      <c r="G369" s="2">
        <v>1267.01</v>
      </c>
      <c r="H369" s="2">
        <v>18</v>
      </c>
      <c r="I369" s="2">
        <f t="shared" si="15"/>
        <v>5005.24</v>
      </c>
      <c r="J369" s="2" t="str">
        <f t="shared" si="16"/>
        <v>April</v>
      </c>
      <c r="K369" s="9">
        <f t="shared" si="17"/>
        <v>0.79799752879748098</v>
      </c>
    </row>
    <row r="370" spans="1:11" x14ac:dyDescent="0.35">
      <c r="A370" s="2" t="s">
        <v>354</v>
      </c>
      <c r="B370" s="4" t="s">
        <v>355</v>
      </c>
      <c r="C370" s="2" t="s">
        <v>27</v>
      </c>
      <c r="D370" s="2" t="s">
        <v>16</v>
      </c>
      <c r="E370" s="2" t="s">
        <v>21</v>
      </c>
      <c r="F370" s="2">
        <v>46218.62</v>
      </c>
      <c r="G370" s="2">
        <v>11832.64</v>
      </c>
      <c r="H370" s="2">
        <v>13</v>
      </c>
      <c r="I370" s="2">
        <f t="shared" si="15"/>
        <v>34385.980000000003</v>
      </c>
      <c r="J370" s="2" t="str">
        <f t="shared" si="16"/>
        <v>July</v>
      </c>
      <c r="K370" s="9">
        <f t="shared" si="17"/>
        <v>0.7439854327108858</v>
      </c>
    </row>
    <row r="371" spans="1:11" x14ac:dyDescent="0.35">
      <c r="A371" s="2" t="s">
        <v>361</v>
      </c>
      <c r="B371" s="4" t="s">
        <v>362</v>
      </c>
      <c r="C371" s="2" t="s">
        <v>31</v>
      </c>
      <c r="D371" s="2" t="s">
        <v>16</v>
      </c>
      <c r="E371" s="2" t="s">
        <v>21</v>
      </c>
      <c r="F371" s="2">
        <v>30549.79</v>
      </c>
      <c r="G371" s="2">
        <v>8620.8799999999992</v>
      </c>
      <c r="H371" s="2">
        <v>8</v>
      </c>
      <c r="I371" s="2">
        <f t="shared" si="15"/>
        <v>21928.910000000003</v>
      </c>
      <c r="J371" s="2" t="str">
        <f t="shared" si="16"/>
        <v>December</v>
      </c>
      <c r="K371" s="9">
        <f t="shared" si="17"/>
        <v>0.7178088621885782</v>
      </c>
    </row>
    <row r="372" spans="1:11" x14ac:dyDescent="0.35">
      <c r="A372" s="2" t="s">
        <v>384</v>
      </c>
      <c r="B372" s="4" t="s">
        <v>385</v>
      </c>
      <c r="C372" s="2" t="s">
        <v>27</v>
      </c>
      <c r="D372" s="2" t="s">
        <v>16</v>
      </c>
      <c r="E372" s="2" t="s">
        <v>12</v>
      </c>
      <c r="F372" s="2">
        <v>38739.64</v>
      </c>
      <c r="G372" s="2">
        <v>4183.5600000000004</v>
      </c>
      <c r="H372" s="2">
        <v>8</v>
      </c>
      <c r="I372" s="2">
        <f t="shared" si="15"/>
        <v>34556.080000000002</v>
      </c>
      <c r="J372" s="2" t="str">
        <f t="shared" si="16"/>
        <v>November</v>
      </c>
      <c r="K372" s="9">
        <f t="shared" si="17"/>
        <v>0.89200828918389541</v>
      </c>
    </row>
    <row r="373" spans="1:11" x14ac:dyDescent="0.35">
      <c r="A373" s="2" t="s">
        <v>386</v>
      </c>
      <c r="B373" s="4" t="s">
        <v>387</v>
      </c>
      <c r="C373" s="2" t="s">
        <v>15</v>
      </c>
      <c r="D373" s="2" t="s">
        <v>16</v>
      </c>
      <c r="E373" s="2" t="s">
        <v>21</v>
      </c>
      <c r="F373" s="2">
        <v>874.21</v>
      </c>
      <c r="G373" s="2">
        <v>56.44</v>
      </c>
      <c r="H373" s="2">
        <v>8</v>
      </c>
      <c r="I373" s="2">
        <f t="shared" si="15"/>
        <v>817.77</v>
      </c>
      <c r="J373" s="2" t="str">
        <f t="shared" si="16"/>
        <v>July</v>
      </c>
      <c r="K373" s="9">
        <f t="shared" si="17"/>
        <v>0.93543885336475208</v>
      </c>
    </row>
    <row r="374" spans="1:11" x14ac:dyDescent="0.35">
      <c r="A374" s="2" t="s">
        <v>388</v>
      </c>
      <c r="B374" s="4" t="s">
        <v>344</v>
      </c>
      <c r="C374" s="2" t="s">
        <v>15</v>
      </c>
      <c r="D374" s="2" t="s">
        <v>16</v>
      </c>
      <c r="E374" s="2" t="s">
        <v>21</v>
      </c>
      <c r="F374" s="2">
        <v>35821.5</v>
      </c>
      <c r="G374" s="2">
        <v>4072.9</v>
      </c>
      <c r="H374" s="2">
        <v>18</v>
      </c>
      <c r="I374" s="2">
        <f t="shared" si="15"/>
        <v>31748.6</v>
      </c>
      <c r="J374" s="2" t="str">
        <f t="shared" si="16"/>
        <v>June</v>
      </c>
      <c r="K374" s="9">
        <f t="shared" si="17"/>
        <v>0.88630012701868988</v>
      </c>
    </row>
    <row r="375" spans="1:11" x14ac:dyDescent="0.35">
      <c r="A375" s="2" t="s">
        <v>394</v>
      </c>
      <c r="B375" s="4" t="s">
        <v>395</v>
      </c>
      <c r="C375" s="2" t="s">
        <v>10</v>
      </c>
      <c r="D375" s="2" t="s">
        <v>16</v>
      </c>
      <c r="E375" s="2" t="s">
        <v>21</v>
      </c>
      <c r="F375" s="2">
        <v>42417.9</v>
      </c>
      <c r="G375" s="2">
        <v>4452.42</v>
      </c>
      <c r="H375" s="2">
        <v>17</v>
      </c>
      <c r="I375" s="2">
        <f t="shared" si="15"/>
        <v>37965.480000000003</v>
      </c>
      <c r="J375" s="2" t="str">
        <f t="shared" si="16"/>
        <v>February</v>
      </c>
      <c r="K375" s="9">
        <f t="shared" si="17"/>
        <v>0.89503440764394282</v>
      </c>
    </row>
    <row r="376" spans="1:11" x14ac:dyDescent="0.35">
      <c r="A376" s="2" t="s">
        <v>412</v>
      </c>
      <c r="B376" s="4" t="s">
        <v>413</v>
      </c>
      <c r="C376" s="2" t="s">
        <v>31</v>
      </c>
      <c r="D376" s="2" t="s">
        <v>16</v>
      </c>
      <c r="E376" s="2" t="s">
        <v>12</v>
      </c>
      <c r="F376" s="2">
        <v>3595.36</v>
      </c>
      <c r="G376" s="2">
        <v>663.2</v>
      </c>
      <c r="H376" s="2">
        <v>11</v>
      </c>
      <c r="I376" s="2">
        <f t="shared" si="15"/>
        <v>2932.16</v>
      </c>
      <c r="J376" s="2" t="str">
        <f t="shared" si="16"/>
        <v>April</v>
      </c>
      <c r="K376" s="9">
        <f t="shared" si="17"/>
        <v>0.81554002937118941</v>
      </c>
    </row>
    <row r="377" spans="1:11" x14ac:dyDescent="0.35">
      <c r="A377" s="2" t="s">
        <v>415</v>
      </c>
      <c r="B377" s="4" t="s">
        <v>416</v>
      </c>
      <c r="C377" s="2" t="s">
        <v>15</v>
      </c>
      <c r="D377" s="2" t="s">
        <v>16</v>
      </c>
      <c r="E377" s="2" t="s">
        <v>21</v>
      </c>
      <c r="F377" s="2">
        <v>21248.27</v>
      </c>
      <c r="G377" s="2">
        <v>4540.03</v>
      </c>
      <c r="H377" s="2">
        <v>2</v>
      </c>
      <c r="I377" s="2">
        <f t="shared" si="15"/>
        <v>16708.240000000002</v>
      </c>
      <c r="J377" s="2" t="str">
        <f t="shared" si="16"/>
        <v>September</v>
      </c>
      <c r="K377" s="9">
        <f t="shared" si="17"/>
        <v>0.78633413449659673</v>
      </c>
    </row>
    <row r="378" spans="1:11" x14ac:dyDescent="0.35">
      <c r="A378" s="2" t="s">
        <v>421</v>
      </c>
      <c r="B378" s="4" t="s">
        <v>422</v>
      </c>
      <c r="C378" s="2" t="s">
        <v>15</v>
      </c>
      <c r="D378" s="2" t="s">
        <v>16</v>
      </c>
      <c r="E378" s="2" t="s">
        <v>12</v>
      </c>
      <c r="F378" s="2">
        <v>31048.5</v>
      </c>
      <c r="G378" s="2">
        <v>2865.6</v>
      </c>
      <c r="H378" s="2">
        <v>15</v>
      </c>
      <c r="I378" s="2">
        <f t="shared" si="15"/>
        <v>28182.9</v>
      </c>
      <c r="J378" s="2" t="str">
        <f t="shared" si="16"/>
        <v>March</v>
      </c>
      <c r="K378" s="9">
        <f t="shared" si="17"/>
        <v>0.907705686265037</v>
      </c>
    </row>
    <row r="379" spans="1:11" x14ac:dyDescent="0.35">
      <c r="A379" s="2" t="s">
        <v>427</v>
      </c>
      <c r="B379" s="4" t="s">
        <v>144</v>
      </c>
      <c r="C379" s="2" t="s">
        <v>31</v>
      </c>
      <c r="D379" s="2" t="s">
        <v>16</v>
      </c>
      <c r="E379" s="2" t="s">
        <v>21</v>
      </c>
      <c r="F379" s="2">
        <v>26079.56</v>
      </c>
      <c r="G379" s="2">
        <v>6506.29</v>
      </c>
      <c r="H379" s="2">
        <v>11</v>
      </c>
      <c r="I379" s="2">
        <f t="shared" si="15"/>
        <v>19573.27</v>
      </c>
      <c r="J379" s="2" t="str">
        <f t="shared" si="16"/>
        <v>August</v>
      </c>
      <c r="K379" s="9">
        <f t="shared" si="17"/>
        <v>0.75052148119063355</v>
      </c>
    </row>
    <row r="380" spans="1:11" x14ac:dyDescent="0.35">
      <c r="A380" s="2" t="s">
        <v>471</v>
      </c>
      <c r="B380" s="4" t="s">
        <v>472</v>
      </c>
      <c r="C380" s="2" t="s">
        <v>27</v>
      </c>
      <c r="D380" s="2" t="s">
        <v>16</v>
      </c>
      <c r="E380" s="2" t="s">
        <v>12</v>
      </c>
      <c r="F380" s="2">
        <v>34601.83</v>
      </c>
      <c r="G380" s="2">
        <v>5058.71</v>
      </c>
      <c r="H380" s="2">
        <v>15</v>
      </c>
      <c r="I380" s="2">
        <f t="shared" si="15"/>
        <v>29543.120000000003</v>
      </c>
      <c r="J380" s="2" t="str">
        <f t="shared" si="16"/>
        <v>August</v>
      </c>
      <c r="K380" s="9">
        <f t="shared" si="17"/>
        <v>0.85380224109534097</v>
      </c>
    </row>
    <row r="381" spans="1:11" x14ac:dyDescent="0.35">
      <c r="A381" s="2" t="s">
        <v>474</v>
      </c>
      <c r="B381" s="4" t="s">
        <v>109</v>
      </c>
      <c r="C381" s="2" t="s">
        <v>10</v>
      </c>
      <c r="D381" s="2" t="s">
        <v>16</v>
      </c>
      <c r="E381" s="2" t="s">
        <v>21</v>
      </c>
      <c r="F381" s="2">
        <v>23478.97</v>
      </c>
      <c r="G381" s="2">
        <v>2539.12</v>
      </c>
      <c r="H381" s="2">
        <v>6</v>
      </c>
      <c r="I381" s="2">
        <f t="shared" si="15"/>
        <v>20939.850000000002</v>
      </c>
      <c r="J381" s="2" t="str">
        <f t="shared" si="16"/>
        <v>January</v>
      </c>
      <c r="K381" s="9">
        <f t="shared" si="17"/>
        <v>0.89185556265883903</v>
      </c>
    </row>
    <row r="382" spans="1:11" x14ac:dyDescent="0.35">
      <c r="A382" s="2" t="s">
        <v>482</v>
      </c>
      <c r="B382" s="4" t="s">
        <v>230</v>
      </c>
      <c r="C382" s="2" t="s">
        <v>31</v>
      </c>
      <c r="D382" s="2" t="s">
        <v>16</v>
      </c>
      <c r="E382" s="2" t="s">
        <v>12</v>
      </c>
      <c r="F382" s="2">
        <v>17848.86</v>
      </c>
      <c r="G382" s="2">
        <v>936.9</v>
      </c>
      <c r="H382" s="2">
        <v>10</v>
      </c>
      <c r="I382" s="2">
        <f t="shared" si="15"/>
        <v>16911.96</v>
      </c>
      <c r="J382" s="2" t="str">
        <f t="shared" si="16"/>
        <v>October</v>
      </c>
      <c r="K382" s="9">
        <f t="shared" si="17"/>
        <v>0.94750925269176844</v>
      </c>
    </row>
    <row r="383" spans="1:11" x14ac:dyDescent="0.35">
      <c r="A383" s="2" t="s">
        <v>487</v>
      </c>
      <c r="B383" s="4" t="s">
        <v>115</v>
      </c>
      <c r="C383" s="2" t="s">
        <v>31</v>
      </c>
      <c r="D383" s="2" t="s">
        <v>16</v>
      </c>
      <c r="E383" s="2" t="s">
        <v>17</v>
      </c>
      <c r="F383" s="2">
        <v>49411.65</v>
      </c>
      <c r="G383" s="2">
        <v>8584.7999999999993</v>
      </c>
      <c r="H383" s="2">
        <v>4</v>
      </c>
      <c r="I383" s="2">
        <f t="shared" si="15"/>
        <v>40826.850000000006</v>
      </c>
      <c r="J383" s="2" t="str">
        <f t="shared" si="16"/>
        <v>May</v>
      </c>
      <c r="K383" s="9">
        <f t="shared" si="17"/>
        <v>0.82625959667406379</v>
      </c>
    </row>
    <row r="384" spans="1:11" x14ac:dyDescent="0.35">
      <c r="A384" s="2" t="s">
        <v>502</v>
      </c>
      <c r="B384" s="4" t="s">
        <v>503</v>
      </c>
      <c r="C384" s="2" t="s">
        <v>10</v>
      </c>
      <c r="D384" s="2" t="s">
        <v>16</v>
      </c>
      <c r="E384" s="2" t="s">
        <v>12</v>
      </c>
      <c r="F384" s="2">
        <v>8602.0400000000009</v>
      </c>
      <c r="G384" s="2">
        <v>759.43</v>
      </c>
      <c r="H384" s="2">
        <v>5</v>
      </c>
      <c r="I384" s="2">
        <f t="shared" si="15"/>
        <v>7842.6100000000006</v>
      </c>
      <c r="J384" s="2" t="str">
        <f t="shared" si="16"/>
        <v>July</v>
      </c>
      <c r="K384" s="9">
        <f t="shared" si="17"/>
        <v>0.91171512803939525</v>
      </c>
    </row>
    <row r="385" spans="1:11" x14ac:dyDescent="0.35">
      <c r="A385" s="2" t="s">
        <v>509</v>
      </c>
      <c r="B385" s="4" t="s">
        <v>14</v>
      </c>
      <c r="C385" s="2" t="s">
        <v>15</v>
      </c>
      <c r="D385" s="2" t="s">
        <v>16</v>
      </c>
      <c r="E385" s="2" t="s">
        <v>12</v>
      </c>
      <c r="F385" s="2">
        <v>9624.5300000000007</v>
      </c>
      <c r="G385" s="2">
        <v>2841.97</v>
      </c>
      <c r="H385" s="2">
        <v>16</v>
      </c>
      <c r="I385" s="2">
        <f t="shared" si="15"/>
        <v>6782.5600000000013</v>
      </c>
      <c r="J385" s="2" t="str">
        <f t="shared" si="16"/>
        <v>August</v>
      </c>
      <c r="K385" s="9">
        <f t="shared" si="17"/>
        <v>0.70471597054609425</v>
      </c>
    </row>
    <row r="386" spans="1:11" x14ac:dyDescent="0.35">
      <c r="A386" s="2" t="s">
        <v>513</v>
      </c>
      <c r="B386" s="4" t="s">
        <v>442</v>
      </c>
      <c r="C386" s="2" t="s">
        <v>31</v>
      </c>
      <c r="D386" s="2" t="s">
        <v>16</v>
      </c>
      <c r="E386" s="2" t="s">
        <v>12</v>
      </c>
      <c r="F386" s="2">
        <v>14415.05</v>
      </c>
      <c r="G386" s="2">
        <v>2404.9499999999998</v>
      </c>
      <c r="H386" s="2">
        <v>20</v>
      </c>
      <c r="I386" s="2">
        <f t="shared" ref="I386:I449" si="18">(F386-G386)</f>
        <v>12010.099999999999</v>
      </c>
      <c r="J386" s="2" t="str">
        <f t="shared" ref="J386:J449" si="19">TEXT(B386,"mmmm")</f>
        <v>October</v>
      </c>
      <c r="K386" s="9">
        <f t="shared" ref="K386:K449" si="20">(F386-G386)/F386</f>
        <v>0.83316395017707179</v>
      </c>
    </row>
    <row r="387" spans="1:11" x14ac:dyDescent="0.35">
      <c r="A387" s="2" t="s">
        <v>514</v>
      </c>
      <c r="B387" s="4" t="s">
        <v>136</v>
      </c>
      <c r="C387" s="2" t="s">
        <v>15</v>
      </c>
      <c r="D387" s="2" t="s">
        <v>16</v>
      </c>
      <c r="E387" s="2" t="s">
        <v>12</v>
      </c>
      <c r="F387" s="2">
        <v>17434.14</v>
      </c>
      <c r="G387" s="2">
        <v>2955.28</v>
      </c>
      <c r="H387" s="2">
        <v>11</v>
      </c>
      <c r="I387" s="2">
        <f t="shared" si="18"/>
        <v>14478.859999999999</v>
      </c>
      <c r="J387" s="2" t="str">
        <f t="shared" si="19"/>
        <v>December</v>
      </c>
      <c r="K387" s="9">
        <f t="shared" si="20"/>
        <v>0.83048891427968341</v>
      </c>
    </row>
    <row r="388" spans="1:11" x14ac:dyDescent="0.35">
      <c r="A388" s="2" t="s">
        <v>515</v>
      </c>
      <c r="B388" s="4" t="s">
        <v>95</v>
      </c>
      <c r="C388" s="2" t="s">
        <v>10</v>
      </c>
      <c r="D388" s="2" t="s">
        <v>16</v>
      </c>
      <c r="E388" s="2" t="s">
        <v>12</v>
      </c>
      <c r="F388" s="2">
        <v>35419.71</v>
      </c>
      <c r="G388" s="2">
        <v>4429.84</v>
      </c>
      <c r="H388" s="2">
        <v>2</v>
      </c>
      <c r="I388" s="2">
        <f t="shared" si="18"/>
        <v>30989.87</v>
      </c>
      <c r="J388" s="2" t="str">
        <f t="shared" si="19"/>
        <v>February</v>
      </c>
      <c r="K388" s="9">
        <f t="shared" si="20"/>
        <v>0.87493291164721565</v>
      </c>
    </row>
    <row r="389" spans="1:11" x14ac:dyDescent="0.35">
      <c r="A389" s="2" t="s">
        <v>521</v>
      </c>
      <c r="B389" s="4" t="s">
        <v>435</v>
      </c>
      <c r="C389" s="2" t="s">
        <v>15</v>
      </c>
      <c r="D389" s="2" t="s">
        <v>16</v>
      </c>
      <c r="E389" s="2" t="s">
        <v>21</v>
      </c>
      <c r="F389" s="2">
        <v>3249.71</v>
      </c>
      <c r="G389" s="2">
        <v>930.39</v>
      </c>
      <c r="H389" s="2">
        <v>14</v>
      </c>
      <c r="I389" s="2">
        <f t="shared" si="18"/>
        <v>2319.3200000000002</v>
      </c>
      <c r="J389" s="2" t="str">
        <f t="shared" si="19"/>
        <v>June</v>
      </c>
      <c r="K389" s="9">
        <f t="shared" si="20"/>
        <v>0.71370060713109784</v>
      </c>
    </row>
    <row r="390" spans="1:11" x14ac:dyDescent="0.35">
      <c r="A390" s="2" t="s">
        <v>529</v>
      </c>
      <c r="B390" s="4" t="s">
        <v>101</v>
      </c>
      <c r="C390" s="2" t="s">
        <v>27</v>
      </c>
      <c r="D390" s="2" t="s">
        <v>16</v>
      </c>
      <c r="E390" s="2" t="s">
        <v>17</v>
      </c>
      <c r="F390" s="2">
        <v>42335.839999999997</v>
      </c>
      <c r="G390" s="2">
        <v>7579.2</v>
      </c>
      <c r="H390" s="2">
        <v>19</v>
      </c>
      <c r="I390" s="2">
        <f t="shared" si="18"/>
        <v>34756.639999999999</v>
      </c>
      <c r="J390" s="2" t="str">
        <f t="shared" si="19"/>
        <v>January</v>
      </c>
      <c r="K390" s="9">
        <f t="shared" si="20"/>
        <v>0.82097438009969814</v>
      </c>
    </row>
    <row r="391" spans="1:11" x14ac:dyDescent="0.35">
      <c r="A391" s="2" t="s">
        <v>532</v>
      </c>
      <c r="B391" s="4" t="s">
        <v>533</v>
      </c>
      <c r="C391" s="2" t="s">
        <v>27</v>
      </c>
      <c r="D391" s="2" t="s">
        <v>16</v>
      </c>
      <c r="E391" s="2" t="s">
        <v>21</v>
      </c>
      <c r="F391" s="2">
        <v>38541.75</v>
      </c>
      <c r="G391" s="2">
        <v>4267.74</v>
      </c>
      <c r="H391" s="2">
        <v>12</v>
      </c>
      <c r="I391" s="2">
        <f t="shared" si="18"/>
        <v>34274.01</v>
      </c>
      <c r="J391" s="2" t="str">
        <f t="shared" si="19"/>
        <v>March</v>
      </c>
      <c r="K391" s="9">
        <f t="shared" si="20"/>
        <v>0.88926968806553941</v>
      </c>
    </row>
    <row r="392" spans="1:11" x14ac:dyDescent="0.35">
      <c r="A392" s="2" t="s">
        <v>535</v>
      </c>
      <c r="B392" s="4" t="s">
        <v>56</v>
      </c>
      <c r="C392" s="2" t="s">
        <v>10</v>
      </c>
      <c r="D392" s="2" t="s">
        <v>16</v>
      </c>
      <c r="E392" s="2" t="s">
        <v>21</v>
      </c>
      <c r="F392" s="2">
        <v>34077.870000000003</v>
      </c>
      <c r="G392" s="2">
        <v>4916.09</v>
      </c>
      <c r="H392" s="2">
        <v>3</v>
      </c>
      <c r="I392" s="2">
        <f t="shared" si="18"/>
        <v>29161.780000000002</v>
      </c>
      <c r="J392" s="2" t="str">
        <f t="shared" si="19"/>
        <v>January</v>
      </c>
      <c r="K392" s="9">
        <f t="shared" si="20"/>
        <v>0.85573951658363623</v>
      </c>
    </row>
    <row r="393" spans="1:11" x14ac:dyDescent="0.35">
      <c r="A393" s="2" t="s">
        <v>540</v>
      </c>
      <c r="B393" s="4" t="s">
        <v>541</v>
      </c>
      <c r="C393" s="2" t="s">
        <v>31</v>
      </c>
      <c r="D393" s="2" t="s">
        <v>16</v>
      </c>
      <c r="E393" s="2" t="s">
        <v>21</v>
      </c>
      <c r="F393" s="2">
        <v>41029.949999999997</v>
      </c>
      <c r="G393" s="2">
        <v>4620.17</v>
      </c>
      <c r="H393" s="2">
        <v>19</v>
      </c>
      <c r="I393" s="2">
        <f t="shared" si="18"/>
        <v>36409.78</v>
      </c>
      <c r="J393" s="2" t="str">
        <f t="shared" si="19"/>
        <v>January</v>
      </c>
      <c r="K393" s="9">
        <f t="shared" si="20"/>
        <v>0.88739518327465672</v>
      </c>
    </row>
    <row r="394" spans="1:11" x14ac:dyDescent="0.35">
      <c r="A394" s="2" t="s">
        <v>547</v>
      </c>
      <c r="B394" s="4" t="s">
        <v>107</v>
      </c>
      <c r="C394" s="2" t="s">
        <v>31</v>
      </c>
      <c r="D394" s="2" t="s">
        <v>16</v>
      </c>
      <c r="E394" s="2" t="s">
        <v>21</v>
      </c>
      <c r="F394" s="2">
        <v>37015.4</v>
      </c>
      <c r="G394" s="2">
        <v>2876.74</v>
      </c>
      <c r="H394" s="2">
        <v>3</v>
      </c>
      <c r="I394" s="2">
        <f t="shared" si="18"/>
        <v>34138.660000000003</v>
      </c>
      <c r="J394" s="2" t="str">
        <f t="shared" si="19"/>
        <v>September</v>
      </c>
      <c r="K394" s="9">
        <f t="shared" si="20"/>
        <v>0.92228261750514662</v>
      </c>
    </row>
    <row r="395" spans="1:11" x14ac:dyDescent="0.35">
      <c r="A395" s="2" t="s">
        <v>596</v>
      </c>
      <c r="B395" s="4" t="s">
        <v>597</v>
      </c>
      <c r="C395" s="2" t="s">
        <v>31</v>
      </c>
      <c r="D395" s="2" t="s">
        <v>16</v>
      </c>
      <c r="E395" s="2" t="s">
        <v>17</v>
      </c>
      <c r="F395" s="2">
        <v>25999.69</v>
      </c>
      <c r="G395" s="2">
        <v>7674.58</v>
      </c>
      <c r="H395" s="2">
        <v>17</v>
      </c>
      <c r="I395" s="2">
        <f t="shared" si="18"/>
        <v>18325.11</v>
      </c>
      <c r="J395" s="2" t="str">
        <f t="shared" si="19"/>
        <v>March</v>
      </c>
      <c r="K395" s="9">
        <f t="shared" si="20"/>
        <v>0.70482032670389538</v>
      </c>
    </row>
    <row r="396" spans="1:11" x14ac:dyDescent="0.35">
      <c r="A396" s="2" t="s">
        <v>602</v>
      </c>
      <c r="B396" s="4" t="s">
        <v>60</v>
      </c>
      <c r="C396" s="2" t="s">
        <v>31</v>
      </c>
      <c r="D396" s="2" t="s">
        <v>16</v>
      </c>
      <c r="E396" s="2" t="s">
        <v>12</v>
      </c>
      <c r="F396" s="2">
        <v>5294.97</v>
      </c>
      <c r="G396" s="2">
        <v>852.17</v>
      </c>
      <c r="H396" s="2">
        <v>20</v>
      </c>
      <c r="I396" s="2">
        <f t="shared" si="18"/>
        <v>4442.8</v>
      </c>
      <c r="J396" s="2" t="str">
        <f t="shared" si="19"/>
        <v>October</v>
      </c>
      <c r="K396" s="9">
        <f t="shared" si="20"/>
        <v>0.83906046682039748</v>
      </c>
    </row>
    <row r="397" spans="1:11" x14ac:dyDescent="0.35">
      <c r="A397" s="2" t="s">
        <v>606</v>
      </c>
      <c r="B397" s="4" t="s">
        <v>607</v>
      </c>
      <c r="C397" s="2" t="s">
        <v>15</v>
      </c>
      <c r="D397" s="2" t="s">
        <v>16</v>
      </c>
      <c r="E397" s="2" t="s">
        <v>21</v>
      </c>
      <c r="F397" s="2">
        <v>23830.17</v>
      </c>
      <c r="G397" s="2">
        <v>3937</v>
      </c>
      <c r="H397" s="2">
        <v>8</v>
      </c>
      <c r="I397" s="2">
        <f t="shared" si="18"/>
        <v>19893.169999999998</v>
      </c>
      <c r="J397" s="2" t="str">
        <f t="shared" si="19"/>
        <v>March</v>
      </c>
      <c r="K397" s="9">
        <f t="shared" si="20"/>
        <v>0.83478926084035487</v>
      </c>
    </row>
    <row r="398" spans="1:11" x14ac:dyDescent="0.35">
      <c r="A398" s="2" t="s">
        <v>610</v>
      </c>
      <c r="B398" s="4" t="s">
        <v>564</v>
      </c>
      <c r="C398" s="2" t="s">
        <v>31</v>
      </c>
      <c r="D398" s="2" t="s">
        <v>16</v>
      </c>
      <c r="E398" s="2" t="s">
        <v>12</v>
      </c>
      <c r="F398" s="2">
        <v>37332.39</v>
      </c>
      <c r="G398" s="2">
        <v>3345.42</v>
      </c>
      <c r="H398" s="2">
        <v>12</v>
      </c>
      <c r="I398" s="2">
        <f t="shared" si="18"/>
        <v>33986.97</v>
      </c>
      <c r="J398" s="2" t="str">
        <f t="shared" si="19"/>
        <v>May</v>
      </c>
      <c r="K398" s="9">
        <f t="shared" si="20"/>
        <v>0.91038827141792966</v>
      </c>
    </row>
    <row r="399" spans="1:11" x14ac:dyDescent="0.35">
      <c r="A399" s="2" t="s">
        <v>617</v>
      </c>
      <c r="B399" s="4" t="s">
        <v>618</v>
      </c>
      <c r="C399" s="2" t="s">
        <v>27</v>
      </c>
      <c r="D399" s="2" t="s">
        <v>16</v>
      </c>
      <c r="E399" s="2" t="s">
        <v>21</v>
      </c>
      <c r="F399" s="2">
        <v>20919.099999999999</v>
      </c>
      <c r="G399" s="2">
        <v>2958.55</v>
      </c>
      <c r="H399" s="2">
        <v>4</v>
      </c>
      <c r="I399" s="2">
        <f t="shared" si="18"/>
        <v>17960.55</v>
      </c>
      <c r="J399" s="2" t="str">
        <f t="shared" si="19"/>
        <v>January</v>
      </c>
      <c r="K399" s="9">
        <f t="shared" si="20"/>
        <v>0.85857183148414606</v>
      </c>
    </row>
    <row r="400" spans="1:11" x14ac:dyDescent="0.35">
      <c r="A400" s="2" t="s">
        <v>619</v>
      </c>
      <c r="B400" s="4" t="s">
        <v>496</v>
      </c>
      <c r="C400" s="2" t="s">
        <v>15</v>
      </c>
      <c r="D400" s="2" t="s">
        <v>16</v>
      </c>
      <c r="E400" s="2" t="s">
        <v>17</v>
      </c>
      <c r="F400" s="2">
        <v>32884.910000000003</v>
      </c>
      <c r="G400" s="2">
        <v>5430.98</v>
      </c>
      <c r="H400" s="2">
        <v>20</v>
      </c>
      <c r="I400" s="2">
        <f t="shared" si="18"/>
        <v>27453.930000000004</v>
      </c>
      <c r="J400" s="2" t="str">
        <f t="shared" si="19"/>
        <v>January</v>
      </c>
      <c r="K400" s="9">
        <f t="shared" si="20"/>
        <v>0.83484887141245034</v>
      </c>
    </row>
    <row r="401" spans="1:11" x14ac:dyDescent="0.35">
      <c r="A401" s="2" t="s">
        <v>634</v>
      </c>
      <c r="B401" s="4" t="s">
        <v>168</v>
      </c>
      <c r="C401" s="2" t="s">
        <v>10</v>
      </c>
      <c r="D401" s="2" t="s">
        <v>16</v>
      </c>
      <c r="E401" s="2" t="s">
        <v>17</v>
      </c>
      <c r="F401" s="2">
        <v>25386.86</v>
      </c>
      <c r="G401" s="2">
        <v>7050.56</v>
      </c>
      <c r="H401" s="2">
        <v>20</v>
      </c>
      <c r="I401" s="2">
        <f t="shared" si="18"/>
        <v>18336.3</v>
      </c>
      <c r="J401" s="2" t="str">
        <f t="shared" si="19"/>
        <v>August</v>
      </c>
      <c r="K401" s="9">
        <f t="shared" si="20"/>
        <v>0.72227522426956303</v>
      </c>
    </row>
    <row r="402" spans="1:11" x14ac:dyDescent="0.35">
      <c r="A402" s="2" t="s">
        <v>638</v>
      </c>
      <c r="B402" s="4" t="s">
        <v>273</v>
      </c>
      <c r="C402" s="2" t="s">
        <v>27</v>
      </c>
      <c r="D402" s="2" t="s">
        <v>16</v>
      </c>
      <c r="E402" s="2" t="s">
        <v>21</v>
      </c>
      <c r="F402" s="2">
        <v>42391.199999999997</v>
      </c>
      <c r="G402" s="2">
        <v>5246.85</v>
      </c>
      <c r="H402" s="2">
        <v>6</v>
      </c>
      <c r="I402" s="2">
        <f t="shared" si="18"/>
        <v>37144.35</v>
      </c>
      <c r="J402" s="2" t="str">
        <f t="shared" si="19"/>
        <v>September</v>
      </c>
      <c r="K402" s="9">
        <f t="shared" si="20"/>
        <v>0.87622784917624419</v>
      </c>
    </row>
    <row r="403" spans="1:11" x14ac:dyDescent="0.35">
      <c r="A403" s="2" t="s">
        <v>639</v>
      </c>
      <c r="B403" s="4" t="s">
        <v>640</v>
      </c>
      <c r="C403" s="2" t="s">
        <v>15</v>
      </c>
      <c r="D403" s="2" t="s">
        <v>16</v>
      </c>
      <c r="E403" s="2" t="s">
        <v>12</v>
      </c>
      <c r="F403" s="2">
        <v>41140.46</v>
      </c>
      <c r="G403" s="2">
        <v>6463.05</v>
      </c>
      <c r="H403" s="2">
        <v>18</v>
      </c>
      <c r="I403" s="2">
        <f t="shared" si="18"/>
        <v>34677.409999999996</v>
      </c>
      <c r="J403" s="2" t="str">
        <f t="shared" si="19"/>
        <v>October</v>
      </c>
      <c r="K403" s="9">
        <f t="shared" si="20"/>
        <v>0.84290282607438027</v>
      </c>
    </row>
    <row r="404" spans="1:11" x14ac:dyDescent="0.35">
      <c r="A404" s="2" t="s">
        <v>649</v>
      </c>
      <c r="B404" s="4" t="s">
        <v>650</v>
      </c>
      <c r="C404" s="2" t="s">
        <v>10</v>
      </c>
      <c r="D404" s="2" t="s">
        <v>16</v>
      </c>
      <c r="E404" s="2" t="s">
        <v>12</v>
      </c>
      <c r="F404" s="2">
        <v>45445.279999999999</v>
      </c>
      <c r="G404" s="2">
        <v>2856.05</v>
      </c>
      <c r="H404" s="2">
        <v>10</v>
      </c>
      <c r="I404" s="2">
        <f t="shared" si="18"/>
        <v>42589.229999999996</v>
      </c>
      <c r="J404" s="2" t="str">
        <f t="shared" si="19"/>
        <v>July</v>
      </c>
      <c r="K404" s="9">
        <f t="shared" si="20"/>
        <v>0.93715408948960155</v>
      </c>
    </row>
    <row r="405" spans="1:11" x14ac:dyDescent="0.35">
      <c r="A405" s="2" t="s">
        <v>655</v>
      </c>
      <c r="B405" s="4" t="s">
        <v>134</v>
      </c>
      <c r="C405" s="2" t="s">
        <v>10</v>
      </c>
      <c r="D405" s="2" t="s">
        <v>16</v>
      </c>
      <c r="E405" s="2" t="s">
        <v>17</v>
      </c>
      <c r="F405" s="2">
        <v>8000.67</v>
      </c>
      <c r="G405" s="2">
        <v>2162.44</v>
      </c>
      <c r="H405" s="2">
        <v>11</v>
      </c>
      <c r="I405" s="2">
        <f t="shared" si="18"/>
        <v>5838.23</v>
      </c>
      <c r="J405" s="2" t="str">
        <f t="shared" si="19"/>
        <v>November</v>
      </c>
      <c r="K405" s="9">
        <f t="shared" si="20"/>
        <v>0.72971763614797258</v>
      </c>
    </row>
    <row r="406" spans="1:11" x14ac:dyDescent="0.35">
      <c r="A406" s="2" t="s">
        <v>656</v>
      </c>
      <c r="B406" s="4" t="s">
        <v>286</v>
      </c>
      <c r="C406" s="2" t="s">
        <v>15</v>
      </c>
      <c r="D406" s="2" t="s">
        <v>16</v>
      </c>
      <c r="E406" s="2" t="s">
        <v>12</v>
      </c>
      <c r="F406" s="2">
        <v>15375.84</v>
      </c>
      <c r="G406" s="2">
        <v>4342.8999999999996</v>
      </c>
      <c r="H406" s="2">
        <v>17</v>
      </c>
      <c r="I406" s="2">
        <f t="shared" si="18"/>
        <v>11032.94</v>
      </c>
      <c r="J406" s="2" t="str">
        <f t="shared" si="19"/>
        <v>November</v>
      </c>
      <c r="K406" s="9">
        <f t="shared" si="20"/>
        <v>0.71755039074287974</v>
      </c>
    </row>
    <row r="407" spans="1:11" x14ac:dyDescent="0.35">
      <c r="A407" s="2" t="s">
        <v>666</v>
      </c>
      <c r="B407" s="4" t="s">
        <v>70</v>
      </c>
      <c r="C407" s="2" t="s">
        <v>27</v>
      </c>
      <c r="D407" s="2" t="s">
        <v>16</v>
      </c>
      <c r="E407" s="2" t="s">
        <v>12</v>
      </c>
      <c r="F407" s="2">
        <v>12439.57</v>
      </c>
      <c r="G407" s="2">
        <v>1047.4100000000001</v>
      </c>
      <c r="H407" s="2">
        <v>6</v>
      </c>
      <c r="I407" s="2">
        <f t="shared" si="18"/>
        <v>11392.16</v>
      </c>
      <c r="J407" s="2" t="str">
        <f t="shared" si="19"/>
        <v>October</v>
      </c>
      <c r="K407" s="9">
        <f t="shared" si="20"/>
        <v>0.91580014421720368</v>
      </c>
    </row>
    <row r="408" spans="1:11" x14ac:dyDescent="0.35">
      <c r="A408" s="2" t="s">
        <v>667</v>
      </c>
      <c r="B408" s="4" t="s">
        <v>62</v>
      </c>
      <c r="C408" s="2" t="s">
        <v>10</v>
      </c>
      <c r="D408" s="2" t="s">
        <v>16</v>
      </c>
      <c r="E408" s="2" t="s">
        <v>21</v>
      </c>
      <c r="F408" s="2">
        <v>48697.38</v>
      </c>
      <c r="G408" s="2">
        <v>3824.25</v>
      </c>
      <c r="H408" s="2">
        <v>2</v>
      </c>
      <c r="I408" s="2">
        <f t="shared" si="18"/>
        <v>44873.13</v>
      </c>
      <c r="J408" s="2" t="str">
        <f t="shared" si="19"/>
        <v>January</v>
      </c>
      <c r="K408" s="9">
        <f t="shared" si="20"/>
        <v>0.92146908108814063</v>
      </c>
    </row>
    <row r="409" spans="1:11" x14ac:dyDescent="0.35">
      <c r="A409" s="2" t="s">
        <v>685</v>
      </c>
      <c r="B409" s="4" t="s">
        <v>686</v>
      </c>
      <c r="C409" s="2" t="s">
        <v>31</v>
      </c>
      <c r="D409" s="2" t="s">
        <v>16</v>
      </c>
      <c r="E409" s="2" t="s">
        <v>12</v>
      </c>
      <c r="F409" s="2">
        <v>28565.53</v>
      </c>
      <c r="G409" s="2">
        <v>8453.24</v>
      </c>
      <c r="H409" s="2">
        <v>12</v>
      </c>
      <c r="I409" s="2">
        <f t="shared" si="18"/>
        <v>20112.29</v>
      </c>
      <c r="J409" s="2" t="str">
        <f t="shared" si="19"/>
        <v>June</v>
      </c>
      <c r="K409" s="9">
        <f t="shared" si="20"/>
        <v>0.70407550638829397</v>
      </c>
    </row>
    <row r="410" spans="1:11" x14ac:dyDescent="0.35">
      <c r="A410" s="2" t="s">
        <v>687</v>
      </c>
      <c r="B410" s="4" t="s">
        <v>640</v>
      </c>
      <c r="C410" s="2" t="s">
        <v>15</v>
      </c>
      <c r="D410" s="2" t="s">
        <v>16</v>
      </c>
      <c r="E410" s="2" t="s">
        <v>12</v>
      </c>
      <c r="F410" s="2">
        <v>20508.689999999999</v>
      </c>
      <c r="G410" s="2">
        <v>2738.04</v>
      </c>
      <c r="H410" s="2">
        <v>5</v>
      </c>
      <c r="I410" s="2">
        <f t="shared" si="18"/>
        <v>17770.649999999998</v>
      </c>
      <c r="J410" s="2" t="str">
        <f t="shared" si="19"/>
        <v>October</v>
      </c>
      <c r="K410" s="9">
        <f t="shared" si="20"/>
        <v>0.86649366683098716</v>
      </c>
    </row>
    <row r="411" spans="1:11" x14ac:dyDescent="0.35">
      <c r="A411" s="2" t="s">
        <v>689</v>
      </c>
      <c r="B411" s="4" t="s">
        <v>358</v>
      </c>
      <c r="C411" s="2" t="s">
        <v>10</v>
      </c>
      <c r="D411" s="2" t="s">
        <v>16</v>
      </c>
      <c r="E411" s="2" t="s">
        <v>17</v>
      </c>
      <c r="F411" s="2">
        <v>34416.160000000003</v>
      </c>
      <c r="G411" s="2">
        <v>7883.39</v>
      </c>
      <c r="H411" s="2">
        <v>4</v>
      </c>
      <c r="I411" s="2">
        <f t="shared" si="18"/>
        <v>26532.770000000004</v>
      </c>
      <c r="J411" s="2" t="str">
        <f t="shared" si="19"/>
        <v>September</v>
      </c>
      <c r="K411" s="9">
        <f t="shared" si="20"/>
        <v>0.77093929130966388</v>
      </c>
    </row>
    <row r="412" spans="1:11" x14ac:dyDescent="0.35">
      <c r="A412" s="2" t="s">
        <v>703</v>
      </c>
      <c r="B412" s="4" t="s">
        <v>704</v>
      </c>
      <c r="C412" s="2" t="s">
        <v>31</v>
      </c>
      <c r="D412" s="2" t="s">
        <v>16</v>
      </c>
      <c r="E412" s="2" t="s">
        <v>12</v>
      </c>
      <c r="F412" s="2">
        <v>17619.75</v>
      </c>
      <c r="G412" s="2">
        <v>4363.79</v>
      </c>
      <c r="H412" s="2">
        <v>1</v>
      </c>
      <c r="I412" s="2">
        <f t="shared" si="18"/>
        <v>13255.96</v>
      </c>
      <c r="J412" s="2" t="str">
        <f t="shared" si="19"/>
        <v>December</v>
      </c>
      <c r="K412" s="9">
        <f t="shared" si="20"/>
        <v>0.75233530555200834</v>
      </c>
    </row>
    <row r="413" spans="1:11" x14ac:dyDescent="0.35">
      <c r="A413" s="2" t="s">
        <v>706</v>
      </c>
      <c r="B413" s="4" t="s">
        <v>707</v>
      </c>
      <c r="C413" s="2" t="s">
        <v>10</v>
      </c>
      <c r="D413" s="2" t="s">
        <v>16</v>
      </c>
      <c r="E413" s="2" t="s">
        <v>17</v>
      </c>
      <c r="F413" s="2">
        <v>5118.72</v>
      </c>
      <c r="G413" s="2">
        <v>1149.48</v>
      </c>
      <c r="H413" s="2">
        <v>9</v>
      </c>
      <c r="I413" s="2">
        <f t="shared" si="18"/>
        <v>3969.2400000000002</v>
      </c>
      <c r="J413" s="2" t="str">
        <f t="shared" si="19"/>
        <v>March</v>
      </c>
      <c r="K413" s="9">
        <f t="shared" si="20"/>
        <v>0.7754360465116279</v>
      </c>
    </row>
    <row r="414" spans="1:11" x14ac:dyDescent="0.35">
      <c r="A414" s="2" t="s">
        <v>714</v>
      </c>
      <c r="B414" s="4" t="s">
        <v>715</v>
      </c>
      <c r="C414" s="2" t="s">
        <v>10</v>
      </c>
      <c r="D414" s="2" t="s">
        <v>16</v>
      </c>
      <c r="E414" s="2" t="s">
        <v>21</v>
      </c>
      <c r="F414" s="2">
        <v>41229.199999999997</v>
      </c>
      <c r="G414" s="2">
        <v>6535.55</v>
      </c>
      <c r="H414" s="2">
        <v>18</v>
      </c>
      <c r="I414" s="2">
        <f t="shared" si="18"/>
        <v>34693.649999999994</v>
      </c>
      <c r="J414" s="2" t="str">
        <f t="shared" si="19"/>
        <v>February</v>
      </c>
      <c r="K414" s="9">
        <f t="shared" si="20"/>
        <v>0.84148249299040478</v>
      </c>
    </row>
    <row r="415" spans="1:11" x14ac:dyDescent="0.35">
      <c r="A415" s="2" t="s">
        <v>720</v>
      </c>
      <c r="B415" s="4" t="s">
        <v>375</v>
      </c>
      <c r="C415" s="2" t="s">
        <v>15</v>
      </c>
      <c r="D415" s="2" t="s">
        <v>16</v>
      </c>
      <c r="E415" s="2" t="s">
        <v>21</v>
      </c>
      <c r="F415" s="2">
        <v>1000.33</v>
      </c>
      <c r="G415" s="2">
        <v>259.56</v>
      </c>
      <c r="H415" s="2">
        <v>9</v>
      </c>
      <c r="I415" s="2">
        <f t="shared" si="18"/>
        <v>740.77</v>
      </c>
      <c r="J415" s="2" t="str">
        <f t="shared" si="19"/>
        <v>October</v>
      </c>
      <c r="K415" s="9">
        <f t="shared" si="20"/>
        <v>0.74052562654324072</v>
      </c>
    </row>
    <row r="416" spans="1:11" x14ac:dyDescent="0.35">
      <c r="A416" s="2" t="s">
        <v>726</v>
      </c>
      <c r="B416" s="4" t="s">
        <v>119</v>
      </c>
      <c r="C416" s="2" t="s">
        <v>31</v>
      </c>
      <c r="D416" s="2" t="s">
        <v>16</v>
      </c>
      <c r="E416" s="2" t="s">
        <v>21</v>
      </c>
      <c r="F416" s="2">
        <v>14497.37</v>
      </c>
      <c r="G416" s="2">
        <v>1538.81</v>
      </c>
      <c r="H416" s="2">
        <v>5</v>
      </c>
      <c r="I416" s="2">
        <f t="shared" si="18"/>
        <v>12958.560000000001</v>
      </c>
      <c r="J416" s="2" t="str">
        <f t="shared" si="19"/>
        <v>October</v>
      </c>
      <c r="K416" s="9">
        <f t="shared" si="20"/>
        <v>0.8938559200737789</v>
      </c>
    </row>
    <row r="417" spans="1:11" x14ac:dyDescent="0.35">
      <c r="A417" s="2" t="s">
        <v>744</v>
      </c>
      <c r="B417" s="4" t="s">
        <v>745</v>
      </c>
      <c r="C417" s="2" t="s">
        <v>31</v>
      </c>
      <c r="D417" s="2" t="s">
        <v>16</v>
      </c>
      <c r="E417" s="2" t="s">
        <v>17</v>
      </c>
      <c r="F417" s="2">
        <v>6227.52</v>
      </c>
      <c r="G417" s="2">
        <v>1001.34</v>
      </c>
      <c r="H417" s="2">
        <v>16</v>
      </c>
      <c r="I417" s="2">
        <f t="shared" si="18"/>
        <v>5226.18</v>
      </c>
      <c r="J417" s="2" t="str">
        <f t="shared" si="19"/>
        <v>January</v>
      </c>
      <c r="K417" s="9">
        <f t="shared" si="20"/>
        <v>0.83920726067519658</v>
      </c>
    </row>
    <row r="418" spans="1:11" x14ac:dyDescent="0.35">
      <c r="A418" s="2" t="s">
        <v>746</v>
      </c>
      <c r="B418" s="4" t="s">
        <v>217</v>
      </c>
      <c r="C418" s="2" t="s">
        <v>31</v>
      </c>
      <c r="D418" s="2" t="s">
        <v>16</v>
      </c>
      <c r="E418" s="2" t="s">
        <v>12</v>
      </c>
      <c r="F418" s="2">
        <v>15717.32</v>
      </c>
      <c r="G418" s="2">
        <v>4353.3900000000003</v>
      </c>
      <c r="H418" s="2">
        <v>1</v>
      </c>
      <c r="I418" s="2">
        <f t="shared" si="18"/>
        <v>11363.93</v>
      </c>
      <c r="J418" s="2" t="str">
        <f t="shared" si="19"/>
        <v>July</v>
      </c>
      <c r="K418" s="9">
        <f t="shared" si="20"/>
        <v>0.72301957331148059</v>
      </c>
    </row>
    <row r="419" spans="1:11" x14ac:dyDescent="0.35">
      <c r="A419" s="2" t="s">
        <v>747</v>
      </c>
      <c r="B419" s="4" t="s">
        <v>377</v>
      </c>
      <c r="C419" s="2" t="s">
        <v>27</v>
      </c>
      <c r="D419" s="2" t="s">
        <v>16</v>
      </c>
      <c r="E419" s="2" t="s">
        <v>17</v>
      </c>
      <c r="F419" s="2">
        <v>14527.31</v>
      </c>
      <c r="G419" s="2">
        <v>3325.79</v>
      </c>
      <c r="H419" s="2">
        <v>4</v>
      </c>
      <c r="I419" s="2">
        <f t="shared" si="18"/>
        <v>11201.52</v>
      </c>
      <c r="J419" s="2" t="str">
        <f t="shared" si="19"/>
        <v>November</v>
      </c>
      <c r="K419" s="9">
        <f t="shared" si="20"/>
        <v>0.7710663570888211</v>
      </c>
    </row>
    <row r="420" spans="1:11" x14ac:dyDescent="0.35">
      <c r="A420" s="2" t="s">
        <v>755</v>
      </c>
      <c r="B420" s="4" t="s">
        <v>599</v>
      </c>
      <c r="C420" s="2" t="s">
        <v>31</v>
      </c>
      <c r="D420" s="2" t="s">
        <v>16</v>
      </c>
      <c r="E420" s="2" t="s">
        <v>21</v>
      </c>
      <c r="F420" s="2">
        <v>2800.81</v>
      </c>
      <c r="G420" s="2">
        <v>362.13</v>
      </c>
      <c r="H420" s="2">
        <v>6</v>
      </c>
      <c r="I420" s="2">
        <f t="shared" si="18"/>
        <v>2438.6799999999998</v>
      </c>
      <c r="J420" s="2" t="str">
        <f t="shared" si="19"/>
        <v>May</v>
      </c>
      <c r="K420" s="9">
        <f t="shared" si="20"/>
        <v>0.87070526026399497</v>
      </c>
    </row>
    <row r="421" spans="1:11" x14ac:dyDescent="0.35">
      <c r="A421" s="2" t="s">
        <v>762</v>
      </c>
      <c r="B421" s="4" t="s">
        <v>416</v>
      </c>
      <c r="C421" s="2" t="s">
        <v>31</v>
      </c>
      <c r="D421" s="2" t="s">
        <v>16</v>
      </c>
      <c r="E421" s="2" t="s">
        <v>21</v>
      </c>
      <c r="F421" s="2">
        <v>42415.07</v>
      </c>
      <c r="G421" s="2">
        <v>10558.49</v>
      </c>
      <c r="H421" s="2">
        <v>11</v>
      </c>
      <c r="I421" s="2">
        <f t="shared" si="18"/>
        <v>31856.58</v>
      </c>
      <c r="J421" s="2" t="str">
        <f t="shared" si="19"/>
        <v>September</v>
      </c>
      <c r="K421" s="9">
        <f t="shared" si="20"/>
        <v>0.75106748615527452</v>
      </c>
    </row>
    <row r="422" spans="1:11" x14ac:dyDescent="0.35">
      <c r="A422" s="2" t="s">
        <v>763</v>
      </c>
      <c r="B422" s="4" t="s">
        <v>764</v>
      </c>
      <c r="C422" s="2" t="s">
        <v>31</v>
      </c>
      <c r="D422" s="2" t="s">
        <v>16</v>
      </c>
      <c r="E422" s="2" t="s">
        <v>17</v>
      </c>
      <c r="F422" s="2">
        <v>18372.78</v>
      </c>
      <c r="G422" s="2">
        <v>4575.42</v>
      </c>
      <c r="H422" s="2">
        <v>19</v>
      </c>
      <c r="I422" s="2">
        <f t="shared" si="18"/>
        <v>13797.359999999999</v>
      </c>
      <c r="J422" s="2" t="str">
        <f t="shared" si="19"/>
        <v>May</v>
      </c>
      <c r="K422" s="9">
        <f t="shared" si="20"/>
        <v>0.75096746382420076</v>
      </c>
    </row>
    <row r="423" spans="1:11" x14ac:dyDescent="0.35">
      <c r="A423" s="2" t="s">
        <v>767</v>
      </c>
      <c r="B423" s="4" t="s">
        <v>768</v>
      </c>
      <c r="C423" s="2" t="s">
        <v>27</v>
      </c>
      <c r="D423" s="2" t="s">
        <v>16</v>
      </c>
      <c r="E423" s="2" t="s">
        <v>17</v>
      </c>
      <c r="F423" s="2">
        <v>25632.15</v>
      </c>
      <c r="G423" s="2">
        <v>7363.13</v>
      </c>
      <c r="H423" s="2">
        <v>2</v>
      </c>
      <c r="I423" s="2">
        <f t="shared" si="18"/>
        <v>18269.02</v>
      </c>
      <c r="J423" s="2" t="str">
        <f t="shared" si="19"/>
        <v>December</v>
      </c>
      <c r="K423" s="9">
        <f t="shared" si="20"/>
        <v>0.71273849442984683</v>
      </c>
    </row>
    <row r="424" spans="1:11" x14ac:dyDescent="0.35">
      <c r="A424" s="2" t="s">
        <v>788</v>
      </c>
      <c r="B424" s="4" t="s">
        <v>230</v>
      </c>
      <c r="C424" s="2" t="s">
        <v>10</v>
      </c>
      <c r="D424" s="2" t="s">
        <v>16</v>
      </c>
      <c r="E424" s="2" t="s">
        <v>12</v>
      </c>
      <c r="F424" s="2">
        <v>38238.51</v>
      </c>
      <c r="G424" s="2">
        <v>3811.65</v>
      </c>
      <c r="H424" s="2">
        <v>10</v>
      </c>
      <c r="I424" s="2">
        <f t="shared" si="18"/>
        <v>34426.86</v>
      </c>
      <c r="J424" s="2" t="str">
        <f t="shared" si="19"/>
        <v>October</v>
      </c>
      <c r="K424" s="9">
        <f t="shared" si="20"/>
        <v>0.90031907624015683</v>
      </c>
    </row>
    <row r="425" spans="1:11" x14ac:dyDescent="0.35">
      <c r="A425" s="2" t="s">
        <v>792</v>
      </c>
      <c r="B425" s="4" t="s">
        <v>793</v>
      </c>
      <c r="C425" s="2" t="s">
        <v>27</v>
      </c>
      <c r="D425" s="2" t="s">
        <v>16</v>
      </c>
      <c r="E425" s="2" t="s">
        <v>21</v>
      </c>
      <c r="F425" s="2">
        <v>48433.84</v>
      </c>
      <c r="G425" s="2">
        <v>12008.4</v>
      </c>
      <c r="H425" s="2">
        <v>5</v>
      </c>
      <c r="I425" s="2">
        <f t="shared" si="18"/>
        <v>36425.439999999995</v>
      </c>
      <c r="J425" s="2" t="str">
        <f t="shared" si="19"/>
        <v>March</v>
      </c>
      <c r="K425" s="9">
        <f t="shared" si="20"/>
        <v>0.75206591094160602</v>
      </c>
    </row>
    <row r="426" spans="1:11" x14ac:dyDescent="0.35">
      <c r="A426" s="2" t="s">
        <v>795</v>
      </c>
      <c r="B426" s="4" t="s">
        <v>305</v>
      </c>
      <c r="C426" s="2" t="s">
        <v>10</v>
      </c>
      <c r="D426" s="2" t="s">
        <v>16</v>
      </c>
      <c r="E426" s="2" t="s">
        <v>12</v>
      </c>
      <c r="F426" s="2">
        <v>43791.839999999997</v>
      </c>
      <c r="G426" s="2">
        <v>5897.91</v>
      </c>
      <c r="H426" s="2">
        <v>4</v>
      </c>
      <c r="I426" s="2">
        <f t="shared" si="18"/>
        <v>37893.929999999993</v>
      </c>
      <c r="J426" s="2" t="str">
        <f t="shared" si="19"/>
        <v>January</v>
      </c>
      <c r="K426" s="9">
        <f t="shared" si="20"/>
        <v>0.86531942937314343</v>
      </c>
    </row>
    <row r="427" spans="1:11" x14ac:dyDescent="0.35">
      <c r="A427" s="2" t="s">
        <v>798</v>
      </c>
      <c r="B427" s="4" t="s">
        <v>764</v>
      </c>
      <c r="C427" s="2" t="s">
        <v>10</v>
      </c>
      <c r="D427" s="2" t="s">
        <v>16</v>
      </c>
      <c r="E427" s="2" t="s">
        <v>21</v>
      </c>
      <c r="F427" s="2">
        <v>32795.82</v>
      </c>
      <c r="G427" s="2">
        <v>1825.32</v>
      </c>
      <c r="H427" s="2">
        <v>5</v>
      </c>
      <c r="I427" s="2">
        <f t="shared" si="18"/>
        <v>30970.5</v>
      </c>
      <c r="J427" s="2" t="str">
        <f t="shared" si="19"/>
        <v>May</v>
      </c>
      <c r="K427" s="9">
        <f t="shared" si="20"/>
        <v>0.94434290711438229</v>
      </c>
    </row>
    <row r="428" spans="1:11" x14ac:dyDescent="0.35">
      <c r="A428" s="2" t="s">
        <v>801</v>
      </c>
      <c r="B428" s="4" t="s">
        <v>761</v>
      </c>
      <c r="C428" s="2" t="s">
        <v>15</v>
      </c>
      <c r="D428" s="2" t="s">
        <v>16</v>
      </c>
      <c r="E428" s="2" t="s">
        <v>21</v>
      </c>
      <c r="F428" s="2">
        <v>8498.07</v>
      </c>
      <c r="G428" s="2">
        <v>2111.5300000000002</v>
      </c>
      <c r="H428" s="2">
        <v>11</v>
      </c>
      <c r="I428" s="2">
        <f t="shared" si="18"/>
        <v>6386.5399999999991</v>
      </c>
      <c r="J428" s="2" t="str">
        <f t="shared" si="19"/>
        <v>July</v>
      </c>
      <c r="K428" s="9">
        <f t="shared" si="20"/>
        <v>0.75152828818778838</v>
      </c>
    </row>
    <row r="429" spans="1:11" x14ac:dyDescent="0.35">
      <c r="A429" s="2" t="s">
        <v>802</v>
      </c>
      <c r="B429" s="4" t="s">
        <v>803</v>
      </c>
      <c r="C429" s="2" t="s">
        <v>15</v>
      </c>
      <c r="D429" s="2" t="s">
        <v>16</v>
      </c>
      <c r="E429" s="2" t="s">
        <v>17</v>
      </c>
      <c r="F429" s="2">
        <v>1582.28</v>
      </c>
      <c r="G429" s="2">
        <v>257.86</v>
      </c>
      <c r="H429" s="2">
        <v>12</v>
      </c>
      <c r="I429" s="2">
        <f t="shared" si="18"/>
        <v>1324.42</v>
      </c>
      <c r="J429" s="2" t="str">
        <f t="shared" si="19"/>
        <v>June</v>
      </c>
      <c r="K429" s="9">
        <f t="shared" si="20"/>
        <v>0.8370326364486691</v>
      </c>
    </row>
    <row r="430" spans="1:11" x14ac:dyDescent="0.35">
      <c r="A430" s="2" t="s">
        <v>804</v>
      </c>
      <c r="B430" s="4" t="s">
        <v>395</v>
      </c>
      <c r="C430" s="2" t="s">
        <v>27</v>
      </c>
      <c r="D430" s="2" t="s">
        <v>16</v>
      </c>
      <c r="E430" s="2" t="s">
        <v>12</v>
      </c>
      <c r="F430" s="2">
        <v>45499.95</v>
      </c>
      <c r="G430" s="2">
        <v>8669.1299999999992</v>
      </c>
      <c r="H430" s="2">
        <v>14</v>
      </c>
      <c r="I430" s="2">
        <f t="shared" si="18"/>
        <v>36830.82</v>
      </c>
      <c r="J430" s="2" t="str">
        <f t="shared" si="19"/>
        <v>February</v>
      </c>
      <c r="K430" s="9">
        <f t="shared" si="20"/>
        <v>0.80946946095545169</v>
      </c>
    </row>
    <row r="431" spans="1:11" x14ac:dyDescent="0.35">
      <c r="A431" s="2" t="s">
        <v>814</v>
      </c>
      <c r="B431" s="4" t="s">
        <v>815</v>
      </c>
      <c r="C431" s="2" t="s">
        <v>27</v>
      </c>
      <c r="D431" s="2" t="s">
        <v>16</v>
      </c>
      <c r="E431" s="2" t="s">
        <v>21</v>
      </c>
      <c r="F431" s="2">
        <v>2175.9499999999998</v>
      </c>
      <c r="G431" s="2">
        <v>367.51</v>
      </c>
      <c r="H431" s="2">
        <v>5</v>
      </c>
      <c r="I431" s="2">
        <f t="shared" si="18"/>
        <v>1808.4399999999998</v>
      </c>
      <c r="J431" s="2" t="str">
        <f t="shared" si="19"/>
        <v>August</v>
      </c>
      <c r="K431" s="9">
        <f t="shared" si="20"/>
        <v>0.83110365587444568</v>
      </c>
    </row>
    <row r="432" spans="1:11" x14ac:dyDescent="0.35">
      <c r="A432" s="2" t="s">
        <v>827</v>
      </c>
      <c r="B432" s="4" t="s">
        <v>178</v>
      </c>
      <c r="C432" s="2" t="s">
        <v>10</v>
      </c>
      <c r="D432" s="2" t="s">
        <v>16</v>
      </c>
      <c r="E432" s="2" t="s">
        <v>17</v>
      </c>
      <c r="F432" s="2">
        <v>16711.740000000002</v>
      </c>
      <c r="G432" s="2">
        <v>2923.62</v>
      </c>
      <c r="H432" s="2">
        <v>6</v>
      </c>
      <c r="I432" s="2">
        <f t="shared" si="18"/>
        <v>13788.120000000003</v>
      </c>
      <c r="J432" s="2" t="str">
        <f t="shared" si="19"/>
        <v>January</v>
      </c>
      <c r="K432" s="9">
        <f t="shared" si="20"/>
        <v>0.82505591877326967</v>
      </c>
    </row>
    <row r="433" spans="1:11" x14ac:dyDescent="0.35">
      <c r="A433" s="2" t="s">
        <v>830</v>
      </c>
      <c r="B433" s="4" t="s">
        <v>368</v>
      </c>
      <c r="C433" s="2" t="s">
        <v>15</v>
      </c>
      <c r="D433" s="2" t="s">
        <v>16</v>
      </c>
      <c r="E433" s="2" t="s">
        <v>12</v>
      </c>
      <c r="F433" s="2">
        <v>16510.03</v>
      </c>
      <c r="G433" s="2">
        <v>1813.44</v>
      </c>
      <c r="H433" s="2">
        <v>2</v>
      </c>
      <c r="I433" s="2">
        <f t="shared" si="18"/>
        <v>14696.589999999998</v>
      </c>
      <c r="J433" s="2" t="str">
        <f t="shared" si="19"/>
        <v>June</v>
      </c>
      <c r="K433" s="9">
        <f t="shared" si="20"/>
        <v>0.89016131406181576</v>
      </c>
    </row>
    <row r="434" spans="1:11" x14ac:dyDescent="0.35">
      <c r="A434" s="2" t="s">
        <v>835</v>
      </c>
      <c r="B434" s="4" t="s">
        <v>491</v>
      </c>
      <c r="C434" s="2" t="s">
        <v>10</v>
      </c>
      <c r="D434" s="2" t="s">
        <v>16</v>
      </c>
      <c r="E434" s="2" t="s">
        <v>17</v>
      </c>
      <c r="F434" s="2">
        <v>9109.94</v>
      </c>
      <c r="G434" s="2">
        <v>549.5</v>
      </c>
      <c r="H434" s="2">
        <v>13</v>
      </c>
      <c r="I434" s="2">
        <f t="shared" si="18"/>
        <v>8560.44</v>
      </c>
      <c r="J434" s="2" t="str">
        <f t="shared" si="19"/>
        <v>December</v>
      </c>
      <c r="K434" s="9">
        <f t="shared" si="20"/>
        <v>0.93968127122681377</v>
      </c>
    </row>
    <row r="435" spans="1:11" x14ac:dyDescent="0.35">
      <c r="A435" s="2" t="s">
        <v>841</v>
      </c>
      <c r="B435" s="4" t="s">
        <v>66</v>
      </c>
      <c r="C435" s="2" t="s">
        <v>31</v>
      </c>
      <c r="D435" s="2" t="s">
        <v>16</v>
      </c>
      <c r="E435" s="2" t="s">
        <v>12</v>
      </c>
      <c r="F435" s="2">
        <v>16813.27</v>
      </c>
      <c r="G435" s="2">
        <v>1531.59</v>
      </c>
      <c r="H435" s="2">
        <v>18</v>
      </c>
      <c r="I435" s="2">
        <f t="shared" si="18"/>
        <v>15281.68</v>
      </c>
      <c r="J435" s="2" t="str">
        <f t="shared" si="19"/>
        <v>January</v>
      </c>
      <c r="K435" s="9">
        <f t="shared" si="20"/>
        <v>0.90890588208004752</v>
      </c>
    </row>
    <row r="436" spans="1:11" x14ac:dyDescent="0.35">
      <c r="A436" s="2" t="s">
        <v>853</v>
      </c>
      <c r="B436" s="4" t="s">
        <v>228</v>
      </c>
      <c r="C436" s="2" t="s">
        <v>15</v>
      </c>
      <c r="D436" s="2" t="s">
        <v>16</v>
      </c>
      <c r="E436" s="2" t="s">
        <v>21</v>
      </c>
      <c r="F436" s="2">
        <v>47760.77</v>
      </c>
      <c r="G436" s="2">
        <v>7905.36</v>
      </c>
      <c r="H436" s="2">
        <v>12</v>
      </c>
      <c r="I436" s="2">
        <f t="shared" si="18"/>
        <v>39855.409999999996</v>
      </c>
      <c r="J436" s="2" t="str">
        <f t="shared" si="19"/>
        <v>May</v>
      </c>
      <c r="K436" s="9">
        <f t="shared" si="20"/>
        <v>0.83448005549324267</v>
      </c>
    </row>
    <row r="437" spans="1:11" x14ac:dyDescent="0.35">
      <c r="A437" s="2" t="s">
        <v>860</v>
      </c>
      <c r="B437" s="4" t="s">
        <v>48</v>
      </c>
      <c r="C437" s="2" t="s">
        <v>27</v>
      </c>
      <c r="D437" s="2" t="s">
        <v>16</v>
      </c>
      <c r="E437" s="2" t="s">
        <v>17</v>
      </c>
      <c r="F437" s="2">
        <v>21467.79</v>
      </c>
      <c r="G437" s="2">
        <v>3281.53</v>
      </c>
      <c r="H437" s="2">
        <v>10</v>
      </c>
      <c r="I437" s="2">
        <f t="shared" si="18"/>
        <v>18186.260000000002</v>
      </c>
      <c r="J437" s="2" t="str">
        <f t="shared" si="19"/>
        <v>October</v>
      </c>
      <c r="K437" s="9">
        <f t="shared" si="20"/>
        <v>0.84714169460386934</v>
      </c>
    </row>
    <row r="438" spans="1:11" x14ac:dyDescent="0.35">
      <c r="A438" s="2" t="s">
        <v>873</v>
      </c>
      <c r="B438" s="4" t="s">
        <v>749</v>
      </c>
      <c r="C438" s="2" t="s">
        <v>15</v>
      </c>
      <c r="D438" s="2" t="s">
        <v>16</v>
      </c>
      <c r="E438" s="2" t="s">
        <v>17</v>
      </c>
      <c r="F438" s="2">
        <v>35177.699999999997</v>
      </c>
      <c r="G438" s="2">
        <v>5020.4799999999996</v>
      </c>
      <c r="H438" s="2">
        <v>13</v>
      </c>
      <c r="I438" s="2">
        <f t="shared" si="18"/>
        <v>30157.219999999998</v>
      </c>
      <c r="J438" s="2" t="str">
        <f t="shared" si="19"/>
        <v>February</v>
      </c>
      <c r="K438" s="9">
        <f t="shared" si="20"/>
        <v>0.85728231237403241</v>
      </c>
    </row>
    <row r="439" spans="1:11" x14ac:dyDescent="0.35">
      <c r="A439" s="2" t="s">
        <v>874</v>
      </c>
      <c r="B439" s="4" t="s">
        <v>812</v>
      </c>
      <c r="C439" s="2" t="s">
        <v>27</v>
      </c>
      <c r="D439" s="2" t="s">
        <v>16</v>
      </c>
      <c r="E439" s="2" t="s">
        <v>21</v>
      </c>
      <c r="F439" s="2">
        <v>46072.62</v>
      </c>
      <c r="G439" s="2">
        <v>2873.99</v>
      </c>
      <c r="H439" s="2">
        <v>1</v>
      </c>
      <c r="I439" s="2">
        <f t="shared" si="18"/>
        <v>43198.630000000005</v>
      </c>
      <c r="J439" s="2" t="str">
        <f t="shared" si="19"/>
        <v>June</v>
      </c>
      <c r="K439" s="9">
        <f t="shared" si="20"/>
        <v>0.93762043486999447</v>
      </c>
    </row>
    <row r="440" spans="1:11" x14ac:dyDescent="0.35">
      <c r="A440" s="2" t="s">
        <v>880</v>
      </c>
      <c r="B440" s="4" t="s">
        <v>180</v>
      </c>
      <c r="C440" s="2" t="s">
        <v>27</v>
      </c>
      <c r="D440" s="2" t="s">
        <v>16</v>
      </c>
      <c r="E440" s="2" t="s">
        <v>17</v>
      </c>
      <c r="F440" s="2">
        <v>40400.42</v>
      </c>
      <c r="G440" s="2">
        <v>7334.96</v>
      </c>
      <c r="H440" s="2">
        <v>9</v>
      </c>
      <c r="I440" s="2">
        <f t="shared" si="18"/>
        <v>33065.46</v>
      </c>
      <c r="J440" s="2" t="str">
        <f t="shared" si="19"/>
        <v>January</v>
      </c>
      <c r="K440" s="9">
        <f t="shared" si="20"/>
        <v>0.81844347162727515</v>
      </c>
    </row>
    <row r="441" spans="1:11" x14ac:dyDescent="0.35">
      <c r="A441" s="2" t="s">
        <v>886</v>
      </c>
      <c r="B441" s="4" t="s">
        <v>355</v>
      </c>
      <c r="C441" s="2" t="s">
        <v>27</v>
      </c>
      <c r="D441" s="2" t="s">
        <v>16</v>
      </c>
      <c r="E441" s="2" t="s">
        <v>21</v>
      </c>
      <c r="F441" s="2">
        <v>37425.17</v>
      </c>
      <c r="G441" s="2">
        <v>4442.12</v>
      </c>
      <c r="H441" s="2">
        <v>8</v>
      </c>
      <c r="I441" s="2">
        <f t="shared" si="18"/>
        <v>32983.049999999996</v>
      </c>
      <c r="J441" s="2" t="str">
        <f t="shared" si="19"/>
        <v>July</v>
      </c>
      <c r="K441" s="9">
        <f t="shared" si="20"/>
        <v>0.88130661797929033</v>
      </c>
    </row>
    <row r="442" spans="1:11" x14ac:dyDescent="0.35">
      <c r="A442" s="2" t="s">
        <v>925</v>
      </c>
      <c r="B442" s="4" t="s">
        <v>926</v>
      </c>
      <c r="C442" s="2" t="s">
        <v>31</v>
      </c>
      <c r="D442" s="2" t="s">
        <v>16</v>
      </c>
      <c r="E442" s="2" t="s">
        <v>21</v>
      </c>
      <c r="F442" s="2">
        <v>49767.02</v>
      </c>
      <c r="G442" s="2">
        <v>10414.879999999999</v>
      </c>
      <c r="H442" s="2">
        <v>12</v>
      </c>
      <c r="I442" s="2">
        <f t="shared" si="18"/>
        <v>39352.14</v>
      </c>
      <c r="J442" s="2" t="str">
        <f t="shared" si="19"/>
        <v>June</v>
      </c>
      <c r="K442" s="9">
        <f t="shared" si="20"/>
        <v>0.7907272728003405</v>
      </c>
    </row>
    <row r="443" spans="1:11" x14ac:dyDescent="0.35">
      <c r="A443" s="2" t="s">
        <v>932</v>
      </c>
      <c r="B443" s="4" t="s">
        <v>539</v>
      </c>
      <c r="C443" s="2" t="s">
        <v>27</v>
      </c>
      <c r="D443" s="2" t="s">
        <v>16</v>
      </c>
      <c r="E443" s="2" t="s">
        <v>21</v>
      </c>
      <c r="F443" s="2">
        <v>41965.89</v>
      </c>
      <c r="G443" s="2">
        <v>9913.7900000000009</v>
      </c>
      <c r="H443" s="2">
        <v>5</v>
      </c>
      <c r="I443" s="2">
        <f t="shared" si="18"/>
        <v>32052.1</v>
      </c>
      <c r="J443" s="2" t="str">
        <f t="shared" si="19"/>
        <v>September</v>
      </c>
      <c r="K443" s="9">
        <f t="shared" si="20"/>
        <v>0.76376552481074511</v>
      </c>
    </row>
    <row r="444" spans="1:11" x14ac:dyDescent="0.35">
      <c r="A444" s="2" t="s">
        <v>942</v>
      </c>
      <c r="B444" s="4" t="s">
        <v>943</v>
      </c>
      <c r="C444" s="2" t="s">
        <v>10</v>
      </c>
      <c r="D444" s="2" t="s">
        <v>16</v>
      </c>
      <c r="E444" s="2" t="s">
        <v>17</v>
      </c>
      <c r="F444" s="2">
        <v>17101.400000000001</v>
      </c>
      <c r="G444" s="2">
        <v>1825.23</v>
      </c>
      <c r="H444" s="2">
        <v>6</v>
      </c>
      <c r="I444" s="2">
        <f t="shared" si="18"/>
        <v>15276.170000000002</v>
      </c>
      <c r="J444" s="2" t="str">
        <f t="shared" si="19"/>
        <v>February</v>
      </c>
      <c r="K444" s="9">
        <f t="shared" si="20"/>
        <v>0.89327014162583185</v>
      </c>
    </row>
    <row r="445" spans="1:11" x14ac:dyDescent="0.35">
      <c r="A445" s="2" t="s">
        <v>949</v>
      </c>
      <c r="B445" s="4" t="s">
        <v>950</v>
      </c>
      <c r="C445" s="2" t="s">
        <v>31</v>
      </c>
      <c r="D445" s="2" t="s">
        <v>16</v>
      </c>
      <c r="E445" s="2" t="s">
        <v>21</v>
      </c>
      <c r="F445" s="2">
        <v>48085.18</v>
      </c>
      <c r="G445" s="2">
        <v>5033.8599999999997</v>
      </c>
      <c r="H445" s="2">
        <v>6</v>
      </c>
      <c r="I445" s="2">
        <f t="shared" si="18"/>
        <v>43051.32</v>
      </c>
      <c r="J445" s="2" t="str">
        <f t="shared" si="19"/>
        <v>August</v>
      </c>
      <c r="K445" s="9">
        <f t="shared" si="20"/>
        <v>0.89531369124541071</v>
      </c>
    </row>
    <row r="446" spans="1:11" x14ac:dyDescent="0.35">
      <c r="A446" s="2" t="s">
        <v>956</v>
      </c>
      <c r="B446" s="4" t="s">
        <v>355</v>
      </c>
      <c r="C446" s="2" t="s">
        <v>10</v>
      </c>
      <c r="D446" s="2" t="s">
        <v>16</v>
      </c>
      <c r="E446" s="2" t="s">
        <v>17</v>
      </c>
      <c r="F446" s="2">
        <v>25542.41</v>
      </c>
      <c r="G446" s="2">
        <v>5470.38</v>
      </c>
      <c r="H446" s="2">
        <v>12</v>
      </c>
      <c r="I446" s="2">
        <f t="shared" si="18"/>
        <v>20072.03</v>
      </c>
      <c r="J446" s="2" t="str">
        <f t="shared" si="19"/>
        <v>July</v>
      </c>
      <c r="K446" s="9">
        <f t="shared" si="20"/>
        <v>0.78583148575251904</v>
      </c>
    </row>
    <row r="447" spans="1:11" x14ac:dyDescent="0.35">
      <c r="A447" s="2" t="s">
        <v>959</v>
      </c>
      <c r="B447" s="4" t="s">
        <v>150</v>
      </c>
      <c r="C447" s="2" t="s">
        <v>10</v>
      </c>
      <c r="D447" s="2" t="s">
        <v>16</v>
      </c>
      <c r="E447" s="2" t="s">
        <v>12</v>
      </c>
      <c r="F447" s="2">
        <v>38466.06</v>
      </c>
      <c r="G447" s="2">
        <v>8805.07</v>
      </c>
      <c r="H447" s="2">
        <v>20</v>
      </c>
      <c r="I447" s="2">
        <f t="shared" si="18"/>
        <v>29660.989999999998</v>
      </c>
      <c r="J447" s="2" t="str">
        <f t="shared" si="19"/>
        <v>September</v>
      </c>
      <c r="K447" s="9">
        <f t="shared" si="20"/>
        <v>0.77109509006121235</v>
      </c>
    </row>
    <row r="448" spans="1:11" x14ac:dyDescent="0.35">
      <c r="A448" s="2" t="s">
        <v>965</v>
      </c>
      <c r="B448" s="4" t="s">
        <v>385</v>
      </c>
      <c r="C448" s="2" t="s">
        <v>31</v>
      </c>
      <c r="D448" s="2" t="s">
        <v>16</v>
      </c>
      <c r="E448" s="2" t="s">
        <v>21</v>
      </c>
      <c r="F448" s="2">
        <v>35894.31</v>
      </c>
      <c r="G448" s="2">
        <v>9008.9599999999991</v>
      </c>
      <c r="H448" s="2">
        <v>6</v>
      </c>
      <c r="I448" s="2">
        <f t="shared" si="18"/>
        <v>26885.35</v>
      </c>
      <c r="J448" s="2" t="str">
        <f t="shared" si="19"/>
        <v>November</v>
      </c>
      <c r="K448" s="9">
        <f t="shared" si="20"/>
        <v>0.74901425880592221</v>
      </c>
    </row>
    <row r="449" spans="1:11" x14ac:dyDescent="0.35">
      <c r="A449" s="2" t="s">
        <v>968</v>
      </c>
      <c r="B449" s="4" t="s">
        <v>164</v>
      </c>
      <c r="C449" s="2" t="s">
        <v>27</v>
      </c>
      <c r="D449" s="2" t="s">
        <v>16</v>
      </c>
      <c r="E449" s="2" t="s">
        <v>12</v>
      </c>
      <c r="F449" s="2">
        <v>9263.2800000000007</v>
      </c>
      <c r="G449" s="2">
        <v>2132.31</v>
      </c>
      <c r="H449" s="2">
        <v>16</v>
      </c>
      <c r="I449" s="2">
        <f t="shared" si="18"/>
        <v>7130.9700000000012</v>
      </c>
      <c r="J449" s="2" t="str">
        <f t="shared" si="19"/>
        <v>April</v>
      </c>
      <c r="K449" s="9">
        <f t="shared" si="20"/>
        <v>0.76981047749825127</v>
      </c>
    </row>
    <row r="450" spans="1:11" x14ac:dyDescent="0.35">
      <c r="A450" s="2" t="s">
        <v>978</v>
      </c>
      <c r="B450" s="4" t="s">
        <v>979</v>
      </c>
      <c r="C450" s="2" t="s">
        <v>15</v>
      </c>
      <c r="D450" s="2" t="s">
        <v>16</v>
      </c>
      <c r="E450" s="2" t="s">
        <v>12</v>
      </c>
      <c r="F450" s="2">
        <v>31319.94</v>
      </c>
      <c r="G450" s="2">
        <v>3077.2</v>
      </c>
      <c r="H450" s="2">
        <v>15</v>
      </c>
      <c r="I450" s="2">
        <f t="shared" ref="I450:I513" si="21">(F450-G450)</f>
        <v>28242.739999999998</v>
      </c>
      <c r="J450" s="2" t="str">
        <f t="shared" ref="J450:J513" si="22">TEXT(B450,"mmmm")</f>
        <v>April</v>
      </c>
      <c r="K450" s="9">
        <f t="shared" ref="K450:K513" si="23">(F450-G450)/F450</f>
        <v>0.90174949249583491</v>
      </c>
    </row>
    <row r="451" spans="1:11" x14ac:dyDescent="0.35">
      <c r="A451" s="2" t="s">
        <v>980</v>
      </c>
      <c r="B451" s="4" t="s">
        <v>44</v>
      </c>
      <c r="C451" s="2" t="s">
        <v>31</v>
      </c>
      <c r="D451" s="2" t="s">
        <v>16</v>
      </c>
      <c r="E451" s="2" t="s">
        <v>12</v>
      </c>
      <c r="F451" s="2">
        <v>1317.35</v>
      </c>
      <c r="G451" s="2">
        <v>218.17</v>
      </c>
      <c r="H451" s="2">
        <v>20</v>
      </c>
      <c r="I451" s="2">
        <f t="shared" si="21"/>
        <v>1099.1799999999998</v>
      </c>
      <c r="J451" s="2" t="str">
        <f t="shared" si="22"/>
        <v>March</v>
      </c>
      <c r="K451" s="9">
        <f t="shared" si="23"/>
        <v>0.83438721676092154</v>
      </c>
    </row>
    <row r="452" spans="1:11" x14ac:dyDescent="0.35">
      <c r="A452" s="2" t="s">
        <v>984</v>
      </c>
      <c r="B452" s="4" t="s">
        <v>985</v>
      </c>
      <c r="C452" s="2" t="s">
        <v>31</v>
      </c>
      <c r="D452" s="2" t="s">
        <v>16</v>
      </c>
      <c r="E452" s="2" t="s">
        <v>17</v>
      </c>
      <c r="F452" s="2">
        <v>44462.9</v>
      </c>
      <c r="G452" s="2">
        <v>11003.62</v>
      </c>
      <c r="H452" s="2">
        <v>8</v>
      </c>
      <c r="I452" s="2">
        <f t="shared" si="21"/>
        <v>33459.279999999999</v>
      </c>
      <c r="J452" s="2" t="str">
        <f t="shared" si="22"/>
        <v>January</v>
      </c>
      <c r="K452" s="9">
        <f t="shared" si="23"/>
        <v>0.7525213155237287</v>
      </c>
    </row>
    <row r="453" spans="1:11" x14ac:dyDescent="0.35">
      <c r="A453" s="2" t="s">
        <v>997</v>
      </c>
      <c r="B453" s="4" t="s">
        <v>926</v>
      </c>
      <c r="C453" s="2" t="s">
        <v>27</v>
      </c>
      <c r="D453" s="2" t="s">
        <v>16</v>
      </c>
      <c r="E453" s="2" t="s">
        <v>12</v>
      </c>
      <c r="F453" s="2">
        <v>9443.32</v>
      </c>
      <c r="G453" s="2">
        <v>1537.64</v>
      </c>
      <c r="H453" s="2">
        <v>4</v>
      </c>
      <c r="I453" s="2">
        <f t="shared" si="21"/>
        <v>7905.6799999999994</v>
      </c>
      <c r="J453" s="2" t="str">
        <f t="shared" si="22"/>
        <v>June</v>
      </c>
      <c r="K453" s="9">
        <f t="shared" si="23"/>
        <v>0.8371716726744407</v>
      </c>
    </row>
    <row r="454" spans="1:11" x14ac:dyDescent="0.35">
      <c r="A454" s="2" t="s">
        <v>1010</v>
      </c>
      <c r="B454" s="4" t="s">
        <v>567</v>
      </c>
      <c r="C454" s="2" t="s">
        <v>15</v>
      </c>
      <c r="D454" s="2" t="s">
        <v>16</v>
      </c>
      <c r="E454" s="2" t="s">
        <v>21</v>
      </c>
      <c r="F454" s="2">
        <v>27939.4</v>
      </c>
      <c r="G454" s="2">
        <v>4574.8500000000004</v>
      </c>
      <c r="H454" s="2">
        <v>11</v>
      </c>
      <c r="I454" s="2">
        <f t="shared" si="21"/>
        <v>23364.550000000003</v>
      </c>
      <c r="J454" s="2" t="str">
        <f t="shared" si="22"/>
        <v>March</v>
      </c>
      <c r="K454" s="9">
        <f t="shared" si="23"/>
        <v>0.83625811577915066</v>
      </c>
    </row>
    <row r="455" spans="1:11" x14ac:dyDescent="0.35">
      <c r="A455" s="2" t="s">
        <v>1012</v>
      </c>
      <c r="B455" s="4" t="s">
        <v>684</v>
      </c>
      <c r="C455" s="2" t="s">
        <v>10</v>
      </c>
      <c r="D455" s="2" t="s">
        <v>16</v>
      </c>
      <c r="E455" s="2" t="s">
        <v>21</v>
      </c>
      <c r="F455" s="2">
        <v>8552.0300000000007</v>
      </c>
      <c r="G455" s="2">
        <v>2522.88</v>
      </c>
      <c r="H455" s="2">
        <v>1</v>
      </c>
      <c r="I455" s="2">
        <f t="shared" si="21"/>
        <v>6029.1500000000005</v>
      </c>
      <c r="J455" s="2" t="str">
        <f t="shared" si="22"/>
        <v>December</v>
      </c>
      <c r="K455" s="9">
        <f t="shared" si="23"/>
        <v>0.70499635758995238</v>
      </c>
    </row>
    <row r="456" spans="1:11" x14ac:dyDescent="0.35">
      <c r="A456" s="2" t="s">
        <v>1013</v>
      </c>
      <c r="B456" s="4" t="s">
        <v>869</v>
      </c>
      <c r="C456" s="2" t="s">
        <v>27</v>
      </c>
      <c r="D456" s="2" t="s">
        <v>16</v>
      </c>
      <c r="E456" s="2" t="s">
        <v>17</v>
      </c>
      <c r="F456" s="2">
        <v>27324.03</v>
      </c>
      <c r="G456" s="2">
        <v>1669.22</v>
      </c>
      <c r="H456" s="2">
        <v>3</v>
      </c>
      <c r="I456" s="2">
        <f t="shared" si="21"/>
        <v>25654.809999999998</v>
      </c>
      <c r="J456" s="2" t="str">
        <f t="shared" si="22"/>
        <v>March</v>
      </c>
      <c r="K456" s="9">
        <f t="shared" si="23"/>
        <v>0.93891018272194837</v>
      </c>
    </row>
    <row r="457" spans="1:11" x14ac:dyDescent="0.35">
      <c r="A457" s="2" t="s">
        <v>1025</v>
      </c>
      <c r="B457" s="4" t="s">
        <v>654</v>
      </c>
      <c r="C457" s="2" t="s">
        <v>10</v>
      </c>
      <c r="D457" s="2" t="s">
        <v>16</v>
      </c>
      <c r="E457" s="2" t="s">
        <v>21</v>
      </c>
      <c r="F457" s="2">
        <v>48402.29</v>
      </c>
      <c r="G457" s="2">
        <v>4664.29</v>
      </c>
      <c r="H457" s="2">
        <v>3</v>
      </c>
      <c r="I457" s="2">
        <f t="shared" si="21"/>
        <v>43738</v>
      </c>
      <c r="J457" s="2" t="str">
        <f t="shared" si="22"/>
        <v>January</v>
      </c>
      <c r="K457" s="9">
        <f t="shared" si="23"/>
        <v>0.90363493132246431</v>
      </c>
    </row>
    <row r="458" spans="1:11" x14ac:dyDescent="0.35">
      <c r="A458" s="2" t="s">
        <v>1031</v>
      </c>
      <c r="B458" s="4" t="s">
        <v>1032</v>
      </c>
      <c r="C458" s="2" t="s">
        <v>27</v>
      </c>
      <c r="D458" s="2" t="s">
        <v>16</v>
      </c>
      <c r="E458" s="2" t="s">
        <v>17</v>
      </c>
      <c r="F458" s="2">
        <v>43463.4</v>
      </c>
      <c r="G458" s="2">
        <v>3866.04</v>
      </c>
      <c r="H458" s="2">
        <v>20</v>
      </c>
      <c r="I458" s="2">
        <f t="shared" si="21"/>
        <v>39597.360000000001</v>
      </c>
      <c r="J458" s="2" t="str">
        <f t="shared" si="22"/>
        <v>July</v>
      </c>
      <c r="K458" s="9">
        <f t="shared" si="23"/>
        <v>0.91105067712144006</v>
      </c>
    </row>
    <row r="459" spans="1:11" x14ac:dyDescent="0.35">
      <c r="A459" s="2" t="s">
        <v>1039</v>
      </c>
      <c r="B459" s="4" t="s">
        <v>411</v>
      </c>
      <c r="C459" s="2" t="s">
        <v>15</v>
      </c>
      <c r="D459" s="2" t="s">
        <v>16</v>
      </c>
      <c r="E459" s="2" t="s">
        <v>17</v>
      </c>
      <c r="F459" s="2">
        <v>4890.72</v>
      </c>
      <c r="G459" s="2">
        <v>738.03</v>
      </c>
      <c r="H459" s="2">
        <v>12</v>
      </c>
      <c r="I459" s="2">
        <f t="shared" si="21"/>
        <v>4152.6900000000005</v>
      </c>
      <c r="J459" s="2" t="str">
        <f t="shared" si="22"/>
        <v>November</v>
      </c>
      <c r="K459" s="9">
        <f t="shared" si="23"/>
        <v>0.84909583864952409</v>
      </c>
    </row>
    <row r="460" spans="1:11" x14ac:dyDescent="0.35">
      <c r="A460" s="2" t="s">
        <v>1041</v>
      </c>
      <c r="B460" s="4" t="s">
        <v>643</v>
      </c>
      <c r="C460" s="2" t="s">
        <v>31</v>
      </c>
      <c r="D460" s="2" t="s">
        <v>16</v>
      </c>
      <c r="E460" s="2" t="s">
        <v>17</v>
      </c>
      <c r="F460" s="2">
        <v>49198.13</v>
      </c>
      <c r="G460" s="2">
        <v>13347.72</v>
      </c>
      <c r="H460" s="2">
        <v>3</v>
      </c>
      <c r="I460" s="2">
        <f t="shared" si="21"/>
        <v>35850.409999999996</v>
      </c>
      <c r="J460" s="2" t="str">
        <f t="shared" si="22"/>
        <v>June</v>
      </c>
      <c r="K460" s="9">
        <f t="shared" si="23"/>
        <v>0.72869456623656226</v>
      </c>
    </row>
    <row r="461" spans="1:11" x14ac:dyDescent="0.35">
      <c r="A461" s="2" t="s">
        <v>1042</v>
      </c>
      <c r="B461" s="4" t="s">
        <v>182</v>
      </c>
      <c r="C461" s="2" t="s">
        <v>27</v>
      </c>
      <c r="D461" s="2" t="s">
        <v>16</v>
      </c>
      <c r="E461" s="2" t="s">
        <v>17</v>
      </c>
      <c r="F461" s="2">
        <v>19176.71</v>
      </c>
      <c r="G461" s="2">
        <v>4703.91</v>
      </c>
      <c r="H461" s="2">
        <v>6</v>
      </c>
      <c r="I461" s="2">
        <f t="shared" si="21"/>
        <v>14472.8</v>
      </c>
      <c r="J461" s="2" t="str">
        <f t="shared" si="22"/>
        <v>January</v>
      </c>
      <c r="K461" s="9">
        <f t="shared" si="23"/>
        <v>0.75470714215316392</v>
      </c>
    </row>
    <row r="462" spans="1:11" x14ac:dyDescent="0.35">
      <c r="A462" s="2" t="s">
        <v>1044</v>
      </c>
      <c r="B462" s="4" t="s">
        <v>70</v>
      </c>
      <c r="C462" s="2" t="s">
        <v>10</v>
      </c>
      <c r="D462" s="2" t="s">
        <v>16</v>
      </c>
      <c r="E462" s="2" t="s">
        <v>21</v>
      </c>
      <c r="F462" s="2">
        <v>9230.31</v>
      </c>
      <c r="G462" s="2">
        <v>707.52</v>
      </c>
      <c r="H462" s="2">
        <v>5</v>
      </c>
      <c r="I462" s="2">
        <f t="shared" si="21"/>
        <v>8522.7899999999991</v>
      </c>
      <c r="J462" s="2" t="str">
        <f t="shared" si="22"/>
        <v>October</v>
      </c>
      <c r="K462" s="9">
        <f t="shared" si="23"/>
        <v>0.9233481865722819</v>
      </c>
    </row>
    <row r="463" spans="1:11" x14ac:dyDescent="0.35">
      <c r="A463" s="2" t="s">
        <v>1048</v>
      </c>
      <c r="B463" s="4" t="s">
        <v>948</v>
      </c>
      <c r="C463" s="2" t="s">
        <v>31</v>
      </c>
      <c r="D463" s="2" t="s">
        <v>16</v>
      </c>
      <c r="E463" s="2" t="s">
        <v>17</v>
      </c>
      <c r="F463" s="2">
        <v>37478.14</v>
      </c>
      <c r="G463" s="2">
        <v>8261.44</v>
      </c>
      <c r="H463" s="2">
        <v>17</v>
      </c>
      <c r="I463" s="2">
        <f t="shared" si="21"/>
        <v>29216.699999999997</v>
      </c>
      <c r="J463" s="2" t="str">
        <f t="shared" si="22"/>
        <v>January</v>
      </c>
      <c r="K463" s="9">
        <f t="shared" si="23"/>
        <v>0.77956643526066116</v>
      </c>
    </row>
    <row r="464" spans="1:11" x14ac:dyDescent="0.35">
      <c r="A464" s="2" t="s">
        <v>1055</v>
      </c>
      <c r="B464" s="4" t="s">
        <v>869</v>
      </c>
      <c r="C464" s="2" t="s">
        <v>31</v>
      </c>
      <c r="D464" s="2" t="s">
        <v>16</v>
      </c>
      <c r="E464" s="2" t="s">
        <v>21</v>
      </c>
      <c r="F464" s="2">
        <v>29848.1</v>
      </c>
      <c r="G464" s="2">
        <v>1737.84</v>
      </c>
      <c r="H464" s="2">
        <v>14</v>
      </c>
      <c r="I464" s="2">
        <f t="shared" si="21"/>
        <v>28110.26</v>
      </c>
      <c r="J464" s="2" t="str">
        <f t="shared" si="22"/>
        <v>March</v>
      </c>
      <c r="K464" s="9">
        <f t="shared" si="23"/>
        <v>0.94177719854865138</v>
      </c>
    </row>
    <row r="465" spans="1:11" x14ac:dyDescent="0.35">
      <c r="A465" s="2" t="s">
        <v>1060</v>
      </c>
      <c r="B465" s="4" t="s">
        <v>75</v>
      </c>
      <c r="C465" s="2" t="s">
        <v>10</v>
      </c>
      <c r="D465" s="2" t="s">
        <v>16</v>
      </c>
      <c r="E465" s="2" t="s">
        <v>12</v>
      </c>
      <c r="F465" s="2">
        <v>7116.93</v>
      </c>
      <c r="G465" s="2">
        <v>879.14</v>
      </c>
      <c r="H465" s="2">
        <v>6</v>
      </c>
      <c r="I465" s="2">
        <f t="shared" si="21"/>
        <v>6237.79</v>
      </c>
      <c r="J465" s="2" t="str">
        <f t="shared" si="22"/>
        <v>April</v>
      </c>
      <c r="K465" s="9">
        <f t="shared" si="23"/>
        <v>0.8764720181314134</v>
      </c>
    </row>
    <row r="466" spans="1:11" x14ac:dyDescent="0.35">
      <c r="A466" s="2" t="s">
        <v>1061</v>
      </c>
      <c r="B466" s="4" t="s">
        <v>225</v>
      </c>
      <c r="C466" s="2" t="s">
        <v>15</v>
      </c>
      <c r="D466" s="2" t="s">
        <v>16</v>
      </c>
      <c r="E466" s="2" t="s">
        <v>21</v>
      </c>
      <c r="F466" s="2">
        <v>6217.99</v>
      </c>
      <c r="G466" s="2">
        <v>890.93</v>
      </c>
      <c r="H466" s="2">
        <v>17</v>
      </c>
      <c r="I466" s="2">
        <f t="shared" si="21"/>
        <v>5327.0599999999995</v>
      </c>
      <c r="J466" s="2" t="str">
        <f t="shared" si="22"/>
        <v>February</v>
      </c>
      <c r="K466" s="9">
        <f t="shared" si="23"/>
        <v>0.85671736364966811</v>
      </c>
    </row>
    <row r="467" spans="1:11" x14ac:dyDescent="0.35">
      <c r="A467" s="2" t="s">
        <v>1065</v>
      </c>
      <c r="B467" s="4" t="s">
        <v>323</v>
      </c>
      <c r="C467" s="2" t="s">
        <v>31</v>
      </c>
      <c r="D467" s="2" t="s">
        <v>16</v>
      </c>
      <c r="E467" s="2" t="s">
        <v>21</v>
      </c>
      <c r="F467" s="2">
        <v>14322.99</v>
      </c>
      <c r="G467" s="2">
        <v>1975.51</v>
      </c>
      <c r="H467" s="2">
        <v>3</v>
      </c>
      <c r="I467" s="2">
        <f t="shared" si="21"/>
        <v>12347.48</v>
      </c>
      <c r="J467" s="2" t="str">
        <f t="shared" si="22"/>
        <v>June</v>
      </c>
      <c r="K467" s="9">
        <f t="shared" si="23"/>
        <v>0.86207418981651174</v>
      </c>
    </row>
    <row r="468" spans="1:11" x14ac:dyDescent="0.35">
      <c r="A468" s="2" t="s">
        <v>1067</v>
      </c>
      <c r="B468" s="4" t="s">
        <v>153</v>
      </c>
      <c r="C468" s="2" t="s">
        <v>27</v>
      </c>
      <c r="D468" s="2" t="s">
        <v>16</v>
      </c>
      <c r="E468" s="2" t="s">
        <v>12</v>
      </c>
      <c r="F468" s="2">
        <v>39662.25</v>
      </c>
      <c r="G468" s="2">
        <v>10960.51</v>
      </c>
      <c r="H468" s="2">
        <v>9</v>
      </c>
      <c r="I468" s="2">
        <f t="shared" si="21"/>
        <v>28701.739999999998</v>
      </c>
      <c r="J468" s="2" t="str">
        <f t="shared" si="22"/>
        <v>March</v>
      </c>
      <c r="K468" s="9">
        <f t="shared" si="23"/>
        <v>0.72365385221463729</v>
      </c>
    </row>
    <row r="469" spans="1:11" x14ac:dyDescent="0.35">
      <c r="A469" s="2" t="s">
        <v>1072</v>
      </c>
      <c r="B469" s="4" t="s">
        <v>309</v>
      </c>
      <c r="C469" s="2" t="s">
        <v>27</v>
      </c>
      <c r="D469" s="2" t="s">
        <v>16</v>
      </c>
      <c r="E469" s="2" t="s">
        <v>17</v>
      </c>
      <c r="F469" s="2">
        <v>27989.55</v>
      </c>
      <c r="G469" s="2">
        <v>8188.02</v>
      </c>
      <c r="H469" s="2">
        <v>8</v>
      </c>
      <c r="I469" s="2">
        <f t="shared" si="21"/>
        <v>19801.53</v>
      </c>
      <c r="J469" s="2" t="str">
        <f t="shared" si="22"/>
        <v>September</v>
      </c>
      <c r="K469" s="9">
        <f t="shared" si="23"/>
        <v>0.70746153475136253</v>
      </c>
    </row>
    <row r="470" spans="1:11" x14ac:dyDescent="0.35">
      <c r="A470" s="2" t="s">
        <v>1074</v>
      </c>
      <c r="B470" s="4" t="s">
        <v>572</v>
      </c>
      <c r="C470" s="2" t="s">
        <v>31</v>
      </c>
      <c r="D470" s="2" t="s">
        <v>16</v>
      </c>
      <c r="E470" s="2" t="s">
        <v>21</v>
      </c>
      <c r="F470" s="2">
        <v>45829.79</v>
      </c>
      <c r="G470" s="2">
        <v>11293.47</v>
      </c>
      <c r="H470" s="2">
        <v>10</v>
      </c>
      <c r="I470" s="2">
        <f t="shared" si="21"/>
        <v>34536.32</v>
      </c>
      <c r="J470" s="2" t="str">
        <f t="shared" si="22"/>
        <v>March</v>
      </c>
      <c r="K470" s="9">
        <f t="shared" si="23"/>
        <v>0.75357796751850703</v>
      </c>
    </row>
    <row r="471" spans="1:11" x14ac:dyDescent="0.35">
      <c r="A471" s="2" t="s">
        <v>1078</v>
      </c>
      <c r="B471" s="4" t="s">
        <v>142</v>
      </c>
      <c r="C471" s="2" t="s">
        <v>10</v>
      </c>
      <c r="D471" s="2" t="s">
        <v>16</v>
      </c>
      <c r="E471" s="2" t="s">
        <v>12</v>
      </c>
      <c r="F471" s="2">
        <v>23336.28</v>
      </c>
      <c r="G471" s="2">
        <v>5808.83</v>
      </c>
      <c r="H471" s="2">
        <v>10</v>
      </c>
      <c r="I471" s="2">
        <f t="shared" si="21"/>
        <v>17527.449999999997</v>
      </c>
      <c r="J471" s="2" t="str">
        <f t="shared" si="22"/>
        <v>September</v>
      </c>
      <c r="K471" s="9">
        <f t="shared" si="23"/>
        <v>0.75108157769790207</v>
      </c>
    </row>
    <row r="472" spans="1:11" x14ac:dyDescent="0.35">
      <c r="A472" s="2" t="s">
        <v>1089</v>
      </c>
      <c r="B472" s="4" t="s">
        <v>321</v>
      </c>
      <c r="C472" s="2" t="s">
        <v>15</v>
      </c>
      <c r="D472" s="2" t="s">
        <v>16</v>
      </c>
      <c r="E472" s="2" t="s">
        <v>21</v>
      </c>
      <c r="F472" s="2">
        <v>35002.42</v>
      </c>
      <c r="G472" s="2">
        <v>1925.31</v>
      </c>
      <c r="H472" s="2">
        <v>14</v>
      </c>
      <c r="I472" s="2">
        <f t="shared" si="21"/>
        <v>33077.11</v>
      </c>
      <c r="J472" s="2" t="str">
        <f t="shared" si="22"/>
        <v>September</v>
      </c>
      <c r="K472" s="9">
        <f t="shared" si="23"/>
        <v>0.94499494606372936</v>
      </c>
    </row>
    <row r="473" spans="1:11" x14ac:dyDescent="0.35">
      <c r="A473" s="2" t="s">
        <v>1106</v>
      </c>
      <c r="B473" s="4" t="s">
        <v>91</v>
      </c>
      <c r="C473" s="2" t="s">
        <v>15</v>
      </c>
      <c r="D473" s="2" t="s">
        <v>16</v>
      </c>
      <c r="E473" s="2" t="s">
        <v>17</v>
      </c>
      <c r="F473" s="2">
        <v>1936.7</v>
      </c>
      <c r="G473" s="2">
        <v>258.51</v>
      </c>
      <c r="H473" s="2">
        <v>17</v>
      </c>
      <c r="I473" s="2">
        <f t="shared" si="21"/>
        <v>1678.19</v>
      </c>
      <c r="J473" s="2" t="str">
        <f t="shared" si="22"/>
        <v>June</v>
      </c>
      <c r="K473" s="9">
        <f t="shared" si="23"/>
        <v>0.86652036970103785</v>
      </c>
    </row>
    <row r="474" spans="1:11" x14ac:dyDescent="0.35">
      <c r="A474" s="2" t="s">
        <v>1108</v>
      </c>
      <c r="B474" s="4" t="s">
        <v>862</v>
      </c>
      <c r="C474" s="2" t="s">
        <v>27</v>
      </c>
      <c r="D474" s="2" t="s">
        <v>16</v>
      </c>
      <c r="E474" s="2" t="s">
        <v>17</v>
      </c>
      <c r="F474" s="2">
        <v>9761.8799999999992</v>
      </c>
      <c r="G474" s="2">
        <v>494.11</v>
      </c>
      <c r="H474" s="2">
        <v>10</v>
      </c>
      <c r="I474" s="2">
        <f t="shared" si="21"/>
        <v>9267.7699999999986</v>
      </c>
      <c r="J474" s="2" t="str">
        <f t="shared" si="22"/>
        <v>September</v>
      </c>
      <c r="K474" s="9">
        <f t="shared" si="23"/>
        <v>0.94938372526603476</v>
      </c>
    </row>
    <row r="475" spans="1:11" x14ac:dyDescent="0.35">
      <c r="A475" s="2" t="s">
        <v>1119</v>
      </c>
      <c r="B475" s="4" t="s">
        <v>1071</v>
      </c>
      <c r="C475" s="2" t="s">
        <v>27</v>
      </c>
      <c r="D475" s="2" t="s">
        <v>16</v>
      </c>
      <c r="E475" s="2" t="s">
        <v>12</v>
      </c>
      <c r="F475" s="2">
        <v>23357.62</v>
      </c>
      <c r="G475" s="2">
        <v>2500.7399999999998</v>
      </c>
      <c r="H475" s="2">
        <v>20</v>
      </c>
      <c r="I475" s="2">
        <f t="shared" si="21"/>
        <v>20856.879999999997</v>
      </c>
      <c r="J475" s="2" t="str">
        <f t="shared" si="22"/>
        <v>July</v>
      </c>
      <c r="K475" s="9">
        <f t="shared" si="23"/>
        <v>0.89293686599918987</v>
      </c>
    </row>
    <row r="476" spans="1:11" x14ac:dyDescent="0.35">
      <c r="A476" s="2" t="s">
        <v>1121</v>
      </c>
      <c r="B476" s="4" t="s">
        <v>628</v>
      </c>
      <c r="C476" s="2" t="s">
        <v>27</v>
      </c>
      <c r="D476" s="2" t="s">
        <v>16</v>
      </c>
      <c r="E476" s="2" t="s">
        <v>17</v>
      </c>
      <c r="F476" s="2">
        <v>41853.86</v>
      </c>
      <c r="G476" s="2">
        <v>11273.26</v>
      </c>
      <c r="H476" s="2">
        <v>17</v>
      </c>
      <c r="I476" s="2">
        <f t="shared" si="21"/>
        <v>30580.6</v>
      </c>
      <c r="J476" s="2" t="str">
        <f t="shared" si="22"/>
        <v>February</v>
      </c>
      <c r="K476" s="9">
        <f t="shared" si="23"/>
        <v>0.73065184429823193</v>
      </c>
    </row>
    <row r="477" spans="1:11" x14ac:dyDescent="0.35">
      <c r="A477" s="2" t="s">
        <v>1129</v>
      </c>
      <c r="B477" s="4" t="s">
        <v>686</v>
      </c>
      <c r="C477" s="2" t="s">
        <v>31</v>
      </c>
      <c r="D477" s="2" t="s">
        <v>16</v>
      </c>
      <c r="E477" s="2" t="s">
        <v>21</v>
      </c>
      <c r="F477" s="2">
        <v>26346.080000000002</v>
      </c>
      <c r="G477" s="2">
        <v>1740.73</v>
      </c>
      <c r="H477" s="2">
        <v>12</v>
      </c>
      <c r="I477" s="2">
        <f t="shared" si="21"/>
        <v>24605.350000000002</v>
      </c>
      <c r="J477" s="2" t="str">
        <f t="shared" si="22"/>
        <v>June</v>
      </c>
      <c r="K477" s="9">
        <f t="shared" si="23"/>
        <v>0.93392831115672614</v>
      </c>
    </row>
    <row r="478" spans="1:11" x14ac:dyDescent="0.35">
      <c r="A478" s="2" t="s">
        <v>1131</v>
      </c>
      <c r="B478" s="4" t="s">
        <v>541</v>
      </c>
      <c r="C478" s="2" t="s">
        <v>10</v>
      </c>
      <c r="D478" s="2" t="s">
        <v>16</v>
      </c>
      <c r="E478" s="2" t="s">
        <v>12</v>
      </c>
      <c r="F478" s="2">
        <v>34344.68</v>
      </c>
      <c r="G478" s="2">
        <v>9339.9500000000007</v>
      </c>
      <c r="H478" s="2">
        <v>17</v>
      </c>
      <c r="I478" s="2">
        <f t="shared" si="21"/>
        <v>25004.73</v>
      </c>
      <c r="J478" s="2" t="str">
        <f t="shared" si="22"/>
        <v>January</v>
      </c>
      <c r="K478" s="9">
        <f t="shared" si="23"/>
        <v>0.72805249604887856</v>
      </c>
    </row>
    <row r="479" spans="1:11" x14ac:dyDescent="0.35">
      <c r="A479" s="2" t="s">
        <v>1137</v>
      </c>
      <c r="B479" s="4" t="s">
        <v>533</v>
      </c>
      <c r="C479" s="2" t="s">
        <v>31</v>
      </c>
      <c r="D479" s="2" t="s">
        <v>16</v>
      </c>
      <c r="E479" s="2" t="s">
        <v>17</v>
      </c>
      <c r="F479" s="2">
        <v>9717.44</v>
      </c>
      <c r="G479" s="2">
        <v>592.41</v>
      </c>
      <c r="H479" s="2">
        <v>8</v>
      </c>
      <c r="I479" s="2">
        <f t="shared" si="21"/>
        <v>9125.0300000000007</v>
      </c>
      <c r="J479" s="2" t="str">
        <f t="shared" si="22"/>
        <v>March</v>
      </c>
      <c r="K479" s="9">
        <f t="shared" si="23"/>
        <v>0.93903641288240525</v>
      </c>
    </row>
    <row r="480" spans="1:11" x14ac:dyDescent="0.35">
      <c r="A480" s="2" t="s">
        <v>1143</v>
      </c>
      <c r="B480" s="4" t="s">
        <v>368</v>
      </c>
      <c r="C480" s="2" t="s">
        <v>31</v>
      </c>
      <c r="D480" s="2" t="s">
        <v>16</v>
      </c>
      <c r="E480" s="2" t="s">
        <v>12</v>
      </c>
      <c r="F480" s="2">
        <v>49938.35</v>
      </c>
      <c r="G480" s="2">
        <v>8302.39</v>
      </c>
      <c r="H480" s="2">
        <v>13</v>
      </c>
      <c r="I480" s="2">
        <f t="shared" si="21"/>
        <v>41635.96</v>
      </c>
      <c r="J480" s="2" t="str">
        <f t="shared" si="22"/>
        <v>June</v>
      </c>
      <c r="K480" s="9">
        <f t="shared" si="23"/>
        <v>0.83374721031031263</v>
      </c>
    </row>
    <row r="481" spans="1:11" x14ac:dyDescent="0.35">
      <c r="A481" s="2" t="s">
        <v>1144</v>
      </c>
      <c r="B481" s="4" t="s">
        <v>1145</v>
      </c>
      <c r="C481" s="2" t="s">
        <v>31</v>
      </c>
      <c r="D481" s="2" t="s">
        <v>16</v>
      </c>
      <c r="E481" s="2" t="s">
        <v>21</v>
      </c>
      <c r="F481" s="2">
        <v>36453.67</v>
      </c>
      <c r="G481" s="2">
        <v>2809.78</v>
      </c>
      <c r="H481" s="2">
        <v>20</v>
      </c>
      <c r="I481" s="2">
        <f t="shared" si="21"/>
        <v>33643.89</v>
      </c>
      <c r="J481" s="2" t="str">
        <f t="shared" si="22"/>
        <v>February</v>
      </c>
      <c r="K481" s="9">
        <f t="shared" si="23"/>
        <v>0.92292188962044153</v>
      </c>
    </row>
    <row r="482" spans="1:11" x14ac:dyDescent="0.35">
      <c r="A482" s="2" t="s">
        <v>1151</v>
      </c>
      <c r="B482" s="4" t="s">
        <v>130</v>
      </c>
      <c r="C482" s="2" t="s">
        <v>10</v>
      </c>
      <c r="D482" s="2" t="s">
        <v>16</v>
      </c>
      <c r="E482" s="2" t="s">
        <v>12</v>
      </c>
      <c r="F482" s="2">
        <v>28038.81</v>
      </c>
      <c r="G482" s="2">
        <v>5073.47</v>
      </c>
      <c r="H482" s="2">
        <v>10</v>
      </c>
      <c r="I482" s="2">
        <f t="shared" si="21"/>
        <v>22965.34</v>
      </c>
      <c r="J482" s="2" t="str">
        <f t="shared" si="22"/>
        <v>August</v>
      </c>
      <c r="K482" s="9">
        <f t="shared" si="23"/>
        <v>0.81905544493507387</v>
      </c>
    </row>
    <row r="483" spans="1:11" x14ac:dyDescent="0.35">
      <c r="A483" s="2" t="s">
        <v>1162</v>
      </c>
      <c r="B483" s="4" t="s">
        <v>437</v>
      </c>
      <c r="C483" s="2" t="s">
        <v>15</v>
      </c>
      <c r="D483" s="2" t="s">
        <v>16</v>
      </c>
      <c r="E483" s="2" t="s">
        <v>21</v>
      </c>
      <c r="F483" s="2">
        <v>44709.02</v>
      </c>
      <c r="G483" s="2">
        <v>8147.86</v>
      </c>
      <c r="H483" s="2">
        <v>11</v>
      </c>
      <c r="I483" s="2">
        <f t="shared" si="21"/>
        <v>36561.159999999996</v>
      </c>
      <c r="J483" s="2" t="str">
        <f t="shared" si="22"/>
        <v>October</v>
      </c>
      <c r="K483" s="9">
        <f t="shared" si="23"/>
        <v>0.81775802735108039</v>
      </c>
    </row>
    <row r="484" spans="1:11" x14ac:dyDescent="0.35">
      <c r="A484" s="2" t="s">
        <v>1169</v>
      </c>
      <c r="B484" s="4" t="s">
        <v>315</v>
      </c>
      <c r="C484" s="2" t="s">
        <v>27</v>
      </c>
      <c r="D484" s="2" t="s">
        <v>16</v>
      </c>
      <c r="E484" s="2" t="s">
        <v>12</v>
      </c>
      <c r="F484" s="2">
        <v>25572.07</v>
      </c>
      <c r="G484" s="2">
        <v>4264.7700000000004</v>
      </c>
      <c r="H484" s="2">
        <v>8</v>
      </c>
      <c r="I484" s="2">
        <f t="shared" si="21"/>
        <v>21307.3</v>
      </c>
      <c r="J484" s="2" t="str">
        <f t="shared" si="22"/>
        <v>May</v>
      </c>
      <c r="K484" s="9">
        <f t="shared" si="23"/>
        <v>0.83322546825501409</v>
      </c>
    </row>
    <row r="485" spans="1:11" x14ac:dyDescent="0.35">
      <c r="A485" s="2" t="s">
        <v>1173</v>
      </c>
      <c r="B485" s="4" t="s">
        <v>1135</v>
      </c>
      <c r="C485" s="2" t="s">
        <v>10</v>
      </c>
      <c r="D485" s="2" t="s">
        <v>16</v>
      </c>
      <c r="E485" s="2" t="s">
        <v>12</v>
      </c>
      <c r="F485" s="2">
        <v>23180.11</v>
      </c>
      <c r="G485" s="2">
        <v>6072.63</v>
      </c>
      <c r="H485" s="2">
        <v>12</v>
      </c>
      <c r="I485" s="2">
        <f t="shared" si="21"/>
        <v>17107.48</v>
      </c>
      <c r="J485" s="2" t="str">
        <f t="shared" si="22"/>
        <v>January</v>
      </c>
      <c r="K485" s="9">
        <f t="shared" si="23"/>
        <v>0.73802410773719362</v>
      </c>
    </row>
    <row r="486" spans="1:11" x14ac:dyDescent="0.35">
      <c r="A486" s="2" t="s">
        <v>1174</v>
      </c>
      <c r="B486" s="4" t="s">
        <v>257</v>
      </c>
      <c r="C486" s="2" t="s">
        <v>31</v>
      </c>
      <c r="D486" s="2" t="s">
        <v>16</v>
      </c>
      <c r="E486" s="2" t="s">
        <v>21</v>
      </c>
      <c r="F486" s="2">
        <v>17256.61</v>
      </c>
      <c r="G486" s="2">
        <v>872.11</v>
      </c>
      <c r="H486" s="2">
        <v>19</v>
      </c>
      <c r="I486" s="2">
        <f t="shared" si="21"/>
        <v>16384.5</v>
      </c>
      <c r="J486" s="2" t="str">
        <f t="shared" si="22"/>
        <v>July</v>
      </c>
      <c r="K486" s="9">
        <f t="shared" si="23"/>
        <v>0.94946226402520539</v>
      </c>
    </row>
    <row r="487" spans="1:11" x14ac:dyDescent="0.35">
      <c r="A487" s="2" t="s">
        <v>1204</v>
      </c>
      <c r="B487" s="4" t="s">
        <v>355</v>
      </c>
      <c r="C487" s="2" t="s">
        <v>10</v>
      </c>
      <c r="D487" s="2" t="s">
        <v>16</v>
      </c>
      <c r="E487" s="2" t="s">
        <v>12</v>
      </c>
      <c r="F487" s="2">
        <v>46302.92</v>
      </c>
      <c r="G487" s="2">
        <v>12931.78</v>
      </c>
      <c r="H487" s="2">
        <v>5</v>
      </c>
      <c r="I487" s="2">
        <f t="shared" si="21"/>
        <v>33371.14</v>
      </c>
      <c r="J487" s="2" t="str">
        <f t="shared" si="22"/>
        <v>July</v>
      </c>
      <c r="K487" s="9">
        <f t="shared" si="23"/>
        <v>0.72071351007668627</v>
      </c>
    </row>
    <row r="488" spans="1:11" x14ac:dyDescent="0.35">
      <c r="A488" s="2" t="s">
        <v>1205</v>
      </c>
      <c r="B488" s="4" t="s">
        <v>178</v>
      </c>
      <c r="C488" s="2" t="s">
        <v>10</v>
      </c>
      <c r="D488" s="2" t="s">
        <v>16</v>
      </c>
      <c r="E488" s="2" t="s">
        <v>17</v>
      </c>
      <c r="F488" s="2">
        <v>33094.629999999997</v>
      </c>
      <c r="G488" s="2">
        <v>9593.9599999999991</v>
      </c>
      <c r="H488" s="2">
        <v>10</v>
      </c>
      <c r="I488" s="2">
        <f t="shared" si="21"/>
        <v>23500.67</v>
      </c>
      <c r="J488" s="2" t="str">
        <f t="shared" si="22"/>
        <v>January</v>
      </c>
      <c r="K488" s="9">
        <f t="shared" si="23"/>
        <v>0.7101052345954616</v>
      </c>
    </row>
    <row r="489" spans="1:11" x14ac:dyDescent="0.35">
      <c r="A489" s="2" t="s">
        <v>1207</v>
      </c>
      <c r="B489" s="4" t="s">
        <v>148</v>
      </c>
      <c r="C489" s="2" t="s">
        <v>31</v>
      </c>
      <c r="D489" s="2" t="s">
        <v>16</v>
      </c>
      <c r="E489" s="2" t="s">
        <v>17</v>
      </c>
      <c r="F489" s="2">
        <v>45008.74</v>
      </c>
      <c r="G489" s="2">
        <v>3027.96</v>
      </c>
      <c r="H489" s="2">
        <v>2</v>
      </c>
      <c r="I489" s="2">
        <f t="shared" si="21"/>
        <v>41980.78</v>
      </c>
      <c r="J489" s="2" t="str">
        <f t="shared" si="22"/>
        <v>March</v>
      </c>
      <c r="K489" s="9">
        <f t="shared" si="23"/>
        <v>0.93272506628712559</v>
      </c>
    </row>
    <row r="490" spans="1:11" x14ac:dyDescent="0.35">
      <c r="A490" s="2" t="s">
        <v>1219</v>
      </c>
      <c r="B490" s="4" t="s">
        <v>640</v>
      </c>
      <c r="C490" s="2" t="s">
        <v>31</v>
      </c>
      <c r="D490" s="2" t="s">
        <v>16</v>
      </c>
      <c r="E490" s="2" t="s">
        <v>21</v>
      </c>
      <c r="F490" s="2">
        <v>28147.72</v>
      </c>
      <c r="G490" s="2">
        <v>2289.5700000000002</v>
      </c>
      <c r="H490" s="2">
        <v>7</v>
      </c>
      <c r="I490" s="2">
        <f t="shared" si="21"/>
        <v>25858.15</v>
      </c>
      <c r="J490" s="2" t="str">
        <f t="shared" si="22"/>
        <v>October</v>
      </c>
      <c r="K490" s="9">
        <f t="shared" si="23"/>
        <v>0.91865877591506528</v>
      </c>
    </row>
    <row r="491" spans="1:11" x14ac:dyDescent="0.35">
      <c r="A491" s="2" t="s">
        <v>1222</v>
      </c>
      <c r="B491" s="4" t="s">
        <v>948</v>
      </c>
      <c r="C491" s="2" t="s">
        <v>31</v>
      </c>
      <c r="D491" s="2" t="s">
        <v>16</v>
      </c>
      <c r="E491" s="2" t="s">
        <v>21</v>
      </c>
      <c r="F491" s="2">
        <v>29756.39</v>
      </c>
      <c r="G491" s="2">
        <v>1914.92</v>
      </c>
      <c r="H491" s="2">
        <v>18</v>
      </c>
      <c r="I491" s="2">
        <f t="shared" si="21"/>
        <v>27841.47</v>
      </c>
      <c r="J491" s="2" t="str">
        <f t="shared" si="22"/>
        <v>January</v>
      </c>
      <c r="K491" s="9">
        <f t="shared" si="23"/>
        <v>0.9356467636027086</v>
      </c>
    </row>
    <row r="492" spans="1:11" x14ac:dyDescent="0.35">
      <c r="A492" s="2" t="s">
        <v>1231</v>
      </c>
      <c r="B492" s="4" t="s">
        <v>696</v>
      </c>
      <c r="C492" s="2" t="s">
        <v>15</v>
      </c>
      <c r="D492" s="2" t="s">
        <v>16</v>
      </c>
      <c r="E492" s="2" t="s">
        <v>21</v>
      </c>
      <c r="F492" s="2">
        <v>13659.09</v>
      </c>
      <c r="G492" s="2">
        <v>2621.67</v>
      </c>
      <c r="H492" s="2">
        <v>15</v>
      </c>
      <c r="I492" s="2">
        <f t="shared" si="21"/>
        <v>11037.42</v>
      </c>
      <c r="J492" s="2" t="str">
        <f t="shared" si="22"/>
        <v>May</v>
      </c>
      <c r="K492" s="9">
        <f t="shared" si="23"/>
        <v>0.80806408040359934</v>
      </c>
    </row>
    <row r="493" spans="1:11" x14ac:dyDescent="0.35">
      <c r="A493" s="2" t="s">
        <v>1232</v>
      </c>
      <c r="B493" s="4" t="s">
        <v>402</v>
      </c>
      <c r="C493" s="2" t="s">
        <v>10</v>
      </c>
      <c r="D493" s="2" t="s">
        <v>16</v>
      </c>
      <c r="E493" s="2" t="s">
        <v>17</v>
      </c>
      <c r="F493" s="2">
        <v>39034.199999999997</v>
      </c>
      <c r="G493" s="2">
        <v>6471.29</v>
      </c>
      <c r="H493" s="2">
        <v>19</v>
      </c>
      <c r="I493" s="2">
        <f t="shared" si="21"/>
        <v>32562.909999999996</v>
      </c>
      <c r="J493" s="2" t="str">
        <f t="shared" si="22"/>
        <v>November</v>
      </c>
      <c r="K493" s="9">
        <f t="shared" si="23"/>
        <v>0.83421486798755962</v>
      </c>
    </row>
    <row r="494" spans="1:11" x14ac:dyDescent="0.35">
      <c r="A494" s="2" t="s">
        <v>1236</v>
      </c>
      <c r="B494" s="4" t="s">
        <v>523</v>
      </c>
      <c r="C494" s="2" t="s">
        <v>31</v>
      </c>
      <c r="D494" s="2" t="s">
        <v>16</v>
      </c>
      <c r="E494" s="2" t="s">
        <v>17</v>
      </c>
      <c r="F494" s="2">
        <v>41889.33</v>
      </c>
      <c r="G494" s="2">
        <v>5334.95</v>
      </c>
      <c r="H494" s="2">
        <v>14</v>
      </c>
      <c r="I494" s="2">
        <f t="shared" si="21"/>
        <v>36554.380000000005</v>
      </c>
      <c r="J494" s="2" t="str">
        <f t="shared" si="22"/>
        <v>January</v>
      </c>
      <c r="K494" s="9">
        <f t="shared" si="23"/>
        <v>0.87264179207449732</v>
      </c>
    </row>
    <row r="495" spans="1:11" x14ac:dyDescent="0.35">
      <c r="A495" s="2" t="s">
        <v>1241</v>
      </c>
      <c r="B495" s="4" t="s">
        <v>187</v>
      </c>
      <c r="C495" s="2" t="s">
        <v>27</v>
      </c>
      <c r="D495" s="2" t="s">
        <v>16</v>
      </c>
      <c r="E495" s="2" t="s">
        <v>21</v>
      </c>
      <c r="F495" s="2">
        <v>9472.5300000000007</v>
      </c>
      <c r="G495" s="2">
        <v>1302.95</v>
      </c>
      <c r="H495" s="2">
        <v>7</v>
      </c>
      <c r="I495" s="2">
        <f t="shared" si="21"/>
        <v>8169.5800000000008</v>
      </c>
      <c r="J495" s="2" t="str">
        <f t="shared" si="22"/>
        <v>March</v>
      </c>
      <c r="K495" s="9">
        <f t="shared" si="23"/>
        <v>0.86244963066889213</v>
      </c>
    </row>
    <row r="496" spans="1:11" x14ac:dyDescent="0.35">
      <c r="A496" s="2" t="s">
        <v>1247</v>
      </c>
      <c r="B496" s="4" t="s">
        <v>290</v>
      </c>
      <c r="C496" s="2" t="s">
        <v>31</v>
      </c>
      <c r="D496" s="2" t="s">
        <v>16</v>
      </c>
      <c r="E496" s="2" t="s">
        <v>12</v>
      </c>
      <c r="F496" s="2">
        <v>37707.97</v>
      </c>
      <c r="G496" s="2">
        <v>8013.21</v>
      </c>
      <c r="H496" s="2">
        <v>12</v>
      </c>
      <c r="I496" s="2">
        <f t="shared" si="21"/>
        <v>29694.760000000002</v>
      </c>
      <c r="J496" s="2" t="str">
        <f t="shared" si="22"/>
        <v>October</v>
      </c>
      <c r="K496" s="9">
        <f t="shared" si="23"/>
        <v>0.78749293584353652</v>
      </c>
    </row>
    <row r="497" spans="1:11" x14ac:dyDescent="0.35">
      <c r="A497" s="2" t="s">
        <v>1254</v>
      </c>
      <c r="B497" s="4" t="s">
        <v>144</v>
      </c>
      <c r="C497" s="2" t="s">
        <v>10</v>
      </c>
      <c r="D497" s="2" t="s">
        <v>16</v>
      </c>
      <c r="E497" s="2" t="s">
        <v>21</v>
      </c>
      <c r="F497" s="2">
        <v>19358.16</v>
      </c>
      <c r="G497" s="2">
        <v>2140.98</v>
      </c>
      <c r="H497" s="2">
        <v>13</v>
      </c>
      <c r="I497" s="2">
        <f t="shared" si="21"/>
        <v>17217.18</v>
      </c>
      <c r="J497" s="2" t="str">
        <f t="shared" si="22"/>
        <v>August</v>
      </c>
      <c r="K497" s="9">
        <f t="shared" si="23"/>
        <v>0.88940167867193987</v>
      </c>
    </row>
    <row r="498" spans="1:11" x14ac:dyDescent="0.35">
      <c r="A498" s="2" t="s">
        <v>1256</v>
      </c>
      <c r="B498" s="4" t="s">
        <v>601</v>
      </c>
      <c r="C498" s="2" t="s">
        <v>27</v>
      </c>
      <c r="D498" s="2" t="s">
        <v>16</v>
      </c>
      <c r="E498" s="2" t="s">
        <v>17</v>
      </c>
      <c r="F498" s="2">
        <v>29752.2</v>
      </c>
      <c r="G498" s="2">
        <v>6908.42</v>
      </c>
      <c r="H498" s="2">
        <v>19</v>
      </c>
      <c r="I498" s="2">
        <f t="shared" si="21"/>
        <v>22843.78</v>
      </c>
      <c r="J498" s="2" t="str">
        <f t="shared" si="22"/>
        <v>June</v>
      </c>
      <c r="K498" s="9">
        <f t="shared" si="23"/>
        <v>0.76780137267160065</v>
      </c>
    </row>
    <row r="499" spans="1:11" x14ac:dyDescent="0.35">
      <c r="A499" s="2" t="s">
        <v>1258</v>
      </c>
      <c r="B499" s="4" t="s">
        <v>64</v>
      </c>
      <c r="C499" s="2" t="s">
        <v>31</v>
      </c>
      <c r="D499" s="2" t="s">
        <v>16</v>
      </c>
      <c r="E499" s="2" t="s">
        <v>17</v>
      </c>
      <c r="F499" s="2">
        <v>28730.639999999999</v>
      </c>
      <c r="G499" s="2">
        <v>5258.09</v>
      </c>
      <c r="H499" s="2">
        <v>6</v>
      </c>
      <c r="I499" s="2">
        <f t="shared" si="21"/>
        <v>23472.55</v>
      </c>
      <c r="J499" s="2" t="str">
        <f t="shared" si="22"/>
        <v>February</v>
      </c>
      <c r="K499" s="9">
        <f t="shared" si="23"/>
        <v>0.816986673460807</v>
      </c>
    </row>
    <row r="500" spans="1:11" x14ac:dyDescent="0.35">
      <c r="A500" s="2" t="s">
        <v>1264</v>
      </c>
      <c r="B500" s="4" t="s">
        <v>812</v>
      </c>
      <c r="C500" s="2" t="s">
        <v>27</v>
      </c>
      <c r="D500" s="2" t="s">
        <v>16</v>
      </c>
      <c r="E500" s="2" t="s">
        <v>21</v>
      </c>
      <c r="F500" s="2">
        <v>42571.22</v>
      </c>
      <c r="G500" s="2">
        <v>3551.74</v>
      </c>
      <c r="H500" s="2">
        <v>2</v>
      </c>
      <c r="I500" s="2">
        <f t="shared" si="21"/>
        <v>39019.480000000003</v>
      </c>
      <c r="J500" s="2" t="str">
        <f t="shared" si="22"/>
        <v>June</v>
      </c>
      <c r="K500" s="9">
        <f t="shared" si="23"/>
        <v>0.91656945701814518</v>
      </c>
    </row>
    <row r="501" spans="1:11" x14ac:dyDescent="0.35">
      <c r="A501" s="2" t="s">
        <v>1268</v>
      </c>
      <c r="B501" s="4" t="s">
        <v>749</v>
      </c>
      <c r="C501" s="2" t="s">
        <v>31</v>
      </c>
      <c r="D501" s="2" t="s">
        <v>16</v>
      </c>
      <c r="E501" s="2" t="s">
        <v>12</v>
      </c>
      <c r="F501" s="2">
        <v>2638.01</v>
      </c>
      <c r="G501" s="2">
        <v>557.35</v>
      </c>
      <c r="H501" s="2">
        <v>20</v>
      </c>
      <c r="I501" s="2">
        <f t="shared" si="21"/>
        <v>2080.6600000000003</v>
      </c>
      <c r="J501" s="2" t="str">
        <f t="shared" si="22"/>
        <v>February</v>
      </c>
      <c r="K501" s="9">
        <f t="shared" si="23"/>
        <v>0.78872331795558015</v>
      </c>
    </row>
    <row r="502" spans="1:11" x14ac:dyDescent="0.35">
      <c r="A502" s="2" t="s">
        <v>1278</v>
      </c>
      <c r="B502" s="4" t="s">
        <v>537</v>
      </c>
      <c r="C502" s="2" t="s">
        <v>15</v>
      </c>
      <c r="D502" s="2" t="s">
        <v>16</v>
      </c>
      <c r="E502" s="2" t="s">
        <v>21</v>
      </c>
      <c r="F502" s="2">
        <v>5715.25</v>
      </c>
      <c r="G502" s="2">
        <v>857.45</v>
      </c>
      <c r="H502" s="2">
        <v>13</v>
      </c>
      <c r="I502" s="2">
        <f t="shared" si="21"/>
        <v>4857.8</v>
      </c>
      <c r="J502" s="2" t="str">
        <f t="shared" si="22"/>
        <v>September</v>
      </c>
      <c r="K502" s="9">
        <f t="shared" si="23"/>
        <v>0.84997156729801848</v>
      </c>
    </row>
    <row r="503" spans="1:11" x14ac:dyDescent="0.35">
      <c r="A503" s="2" t="s">
        <v>1279</v>
      </c>
      <c r="B503" s="4" t="s">
        <v>199</v>
      </c>
      <c r="C503" s="2" t="s">
        <v>31</v>
      </c>
      <c r="D503" s="2" t="s">
        <v>16</v>
      </c>
      <c r="E503" s="2" t="s">
        <v>21</v>
      </c>
      <c r="F503" s="2">
        <v>41231.54</v>
      </c>
      <c r="G503" s="2">
        <v>12048.53</v>
      </c>
      <c r="H503" s="2">
        <v>8</v>
      </c>
      <c r="I503" s="2">
        <f t="shared" si="21"/>
        <v>29183.010000000002</v>
      </c>
      <c r="J503" s="2" t="str">
        <f t="shared" si="22"/>
        <v>December</v>
      </c>
      <c r="K503" s="9">
        <f t="shared" si="23"/>
        <v>0.7077836529996212</v>
      </c>
    </row>
    <row r="504" spans="1:11" x14ac:dyDescent="0.35">
      <c r="A504" s="2" t="s">
        <v>1280</v>
      </c>
      <c r="B504" s="4" t="s">
        <v>260</v>
      </c>
      <c r="C504" s="2" t="s">
        <v>31</v>
      </c>
      <c r="D504" s="2" t="s">
        <v>16</v>
      </c>
      <c r="E504" s="2" t="s">
        <v>17</v>
      </c>
      <c r="F504" s="2">
        <v>45217.1</v>
      </c>
      <c r="G504" s="2">
        <v>13328.4</v>
      </c>
      <c r="H504" s="2">
        <v>14</v>
      </c>
      <c r="I504" s="2">
        <f t="shared" si="21"/>
        <v>31888.699999999997</v>
      </c>
      <c r="J504" s="2" t="str">
        <f t="shared" si="22"/>
        <v>December</v>
      </c>
      <c r="K504" s="9">
        <f t="shared" si="23"/>
        <v>0.70523540872811386</v>
      </c>
    </row>
    <row r="505" spans="1:11" x14ac:dyDescent="0.35">
      <c r="A505" s="2" t="s">
        <v>1284</v>
      </c>
      <c r="B505" s="4" t="s">
        <v>30</v>
      </c>
      <c r="C505" s="2" t="s">
        <v>10</v>
      </c>
      <c r="D505" s="2" t="s">
        <v>16</v>
      </c>
      <c r="E505" s="2" t="s">
        <v>17</v>
      </c>
      <c r="F505" s="2">
        <v>15246.15</v>
      </c>
      <c r="G505" s="2">
        <v>2856.31</v>
      </c>
      <c r="H505" s="2">
        <v>17</v>
      </c>
      <c r="I505" s="2">
        <f t="shared" si="21"/>
        <v>12389.84</v>
      </c>
      <c r="J505" s="2" t="str">
        <f t="shared" si="22"/>
        <v>June</v>
      </c>
      <c r="K505" s="9">
        <f t="shared" si="23"/>
        <v>0.81265368634048596</v>
      </c>
    </row>
    <row r="506" spans="1:11" x14ac:dyDescent="0.35">
      <c r="A506" s="2" t="s">
        <v>1303</v>
      </c>
      <c r="B506" s="4" t="s">
        <v>581</v>
      </c>
      <c r="C506" s="2" t="s">
        <v>31</v>
      </c>
      <c r="D506" s="2" t="s">
        <v>16</v>
      </c>
      <c r="E506" s="2" t="s">
        <v>21</v>
      </c>
      <c r="F506" s="2">
        <v>25821.24</v>
      </c>
      <c r="G506" s="2">
        <v>6601.73</v>
      </c>
      <c r="H506" s="2">
        <v>20</v>
      </c>
      <c r="I506" s="2">
        <f t="shared" si="21"/>
        <v>19219.510000000002</v>
      </c>
      <c r="J506" s="2" t="str">
        <f t="shared" si="22"/>
        <v>December</v>
      </c>
      <c r="K506" s="9">
        <f t="shared" si="23"/>
        <v>0.74432947449464093</v>
      </c>
    </row>
    <row r="507" spans="1:11" x14ac:dyDescent="0.35">
      <c r="A507" s="2" t="s">
        <v>1305</v>
      </c>
      <c r="B507" s="4" t="s">
        <v>178</v>
      </c>
      <c r="C507" s="2" t="s">
        <v>27</v>
      </c>
      <c r="D507" s="2" t="s">
        <v>16</v>
      </c>
      <c r="E507" s="2" t="s">
        <v>21</v>
      </c>
      <c r="F507" s="2">
        <v>6062.96</v>
      </c>
      <c r="G507" s="2">
        <v>1775.14</v>
      </c>
      <c r="H507" s="2">
        <v>8</v>
      </c>
      <c r="I507" s="2">
        <f t="shared" si="21"/>
        <v>4287.82</v>
      </c>
      <c r="J507" s="2" t="str">
        <f t="shared" si="22"/>
        <v>January</v>
      </c>
      <c r="K507" s="9">
        <f t="shared" si="23"/>
        <v>0.70721561745418071</v>
      </c>
    </row>
    <row r="508" spans="1:11" x14ac:dyDescent="0.35">
      <c r="A508" s="2" t="s">
        <v>1311</v>
      </c>
      <c r="B508" s="4" t="s">
        <v>803</v>
      </c>
      <c r="C508" s="2" t="s">
        <v>15</v>
      </c>
      <c r="D508" s="2" t="s">
        <v>16</v>
      </c>
      <c r="E508" s="2" t="s">
        <v>17</v>
      </c>
      <c r="F508" s="2">
        <v>18941.75</v>
      </c>
      <c r="G508" s="2">
        <v>4930.28</v>
      </c>
      <c r="H508" s="2">
        <v>4</v>
      </c>
      <c r="I508" s="2">
        <f t="shared" si="21"/>
        <v>14011.470000000001</v>
      </c>
      <c r="J508" s="2" t="str">
        <f t="shared" si="22"/>
        <v>June</v>
      </c>
      <c r="K508" s="9">
        <f t="shared" si="23"/>
        <v>0.73971359562870387</v>
      </c>
    </row>
    <row r="509" spans="1:11" x14ac:dyDescent="0.35">
      <c r="A509" s="2" t="s">
        <v>1324</v>
      </c>
      <c r="B509" s="4" t="s">
        <v>117</v>
      </c>
      <c r="C509" s="2" t="s">
        <v>15</v>
      </c>
      <c r="D509" s="2" t="s">
        <v>16</v>
      </c>
      <c r="E509" s="2" t="s">
        <v>17</v>
      </c>
      <c r="F509" s="2">
        <v>10557.63</v>
      </c>
      <c r="G509" s="2">
        <v>2795.64</v>
      </c>
      <c r="H509" s="2">
        <v>8</v>
      </c>
      <c r="I509" s="2">
        <f t="shared" si="21"/>
        <v>7761.99</v>
      </c>
      <c r="J509" s="2" t="str">
        <f t="shared" si="22"/>
        <v>April</v>
      </c>
      <c r="K509" s="9">
        <f t="shared" si="23"/>
        <v>0.73520193452507809</v>
      </c>
    </row>
    <row r="510" spans="1:11" x14ac:dyDescent="0.35">
      <c r="A510" s="2" t="s">
        <v>1330</v>
      </c>
      <c r="B510" s="4" t="s">
        <v>355</v>
      </c>
      <c r="C510" s="2" t="s">
        <v>10</v>
      </c>
      <c r="D510" s="2" t="s">
        <v>16</v>
      </c>
      <c r="E510" s="2" t="s">
        <v>12</v>
      </c>
      <c r="F510" s="2">
        <v>12904.93</v>
      </c>
      <c r="G510" s="2">
        <v>1309.42</v>
      </c>
      <c r="H510" s="2">
        <v>9</v>
      </c>
      <c r="I510" s="2">
        <f t="shared" si="21"/>
        <v>11595.51</v>
      </c>
      <c r="J510" s="2" t="str">
        <f t="shared" si="22"/>
        <v>July</v>
      </c>
      <c r="K510" s="9">
        <f t="shared" si="23"/>
        <v>0.89853335120763922</v>
      </c>
    </row>
    <row r="511" spans="1:11" x14ac:dyDescent="0.35">
      <c r="A511" s="2" t="s">
        <v>1334</v>
      </c>
      <c r="B511" s="4" t="s">
        <v>979</v>
      </c>
      <c r="C511" s="2" t="s">
        <v>31</v>
      </c>
      <c r="D511" s="2" t="s">
        <v>16</v>
      </c>
      <c r="E511" s="2" t="s">
        <v>12</v>
      </c>
      <c r="F511" s="2">
        <v>37514.17</v>
      </c>
      <c r="G511" s="2">
        <v>4470.68</v>
      </c>
      <c r="H511" s="2">
        <v>16</v>
      </c>
      <c r="I511" s="2">
        <f t="shared" si="21"/>
        <v>33043.49</v>
      </c>
      <c r="J511" s="2" t="str">
        <f t="shared" si="22"/>
        <v>April</v>
      </c>
      <c r="K511" s="9">
        <f t="shared" si="23"/>
        <v>0.88082689820939664</v>
      </c>
    </row>
    <row r="512" spans="1:11" x14ac:dyDescent="0.35">
      <c r="A512" s="2" t="s">
        <v>1336</v>
      </c>
      <c r="B512" s="4" t="s">
        <v>464</v>
      </c>
      <c r="C512" s="2" t="s">
        <v>27</v>
      </c>
      <c r="D512" s="2" t="s">
        <v>16</v>
      </c>
      <c r="E512" s="2" t="s">
        <v>12</v>
      </c>
      <c r="F512" s="2">
        <v>23138.55</v>
      </c>
      <c r="G512" s="2">
        <v>2273.4</v>
      </c>
      <c r="H512" s="2">
        <v>18</v>
      </c>
      <c r="I512" s="2">
        <f t="shared" si="21"/>
        <v>20865.149999999998</v>
      </c>
      <c r="J512" s="2" t="str">
        <f t="shared" si="22"/>
        <v>December</v>
      </c>
      <c r="K512" s="9">
        <f t="shared" si="23"/>
        <v>0.90174838094867649</v>
      </c>
    </row>
    <row r="513" spans="1:11" x14ac:dyDescent="0.35">
      <c r="A513" s="2" t="s">
        <v>1349</v>
      </c>
      <c r="B513" s="4" t="s">
        <v>494</v>
      </c>
      <c r="C513" s="2" t="s">
        <v>15</v>
      </c>
      <c r="D513" s="2" t="s">
        <v>16</v>
      </c>
      <c r="E513" s="2" t="s">
        <v>12</v>
      </c>
      <c r="F513" s="2">
        <v>5783.16</v>
      </c>
      <c r="G513" s="2">
        <v>1194.79</v>
      </c>
      <c r="H513" s="2">
        <v>3</v>
      </c>
      <c r="I513" s="2">
        <f t="shared" si="21"/>
        <v>4588.37</v>
      </c>
      <c r="J513" s="2" t="str">
        <f t="shared" si="22"/>
        <v>September</v>
      </c>
      <c r="K513" s="9">
        <f t="shared" si="23"/>
        <v>0.79340187717441679</v>
      </c>
    </row>
    <row r="514" spans="1:11" x14ac:dyDescent="0.35">
      <c r="A514" s="2" t="s">
        <v>1352</v>
      </c>
      <c r="B514" s="4" t="s">
        <v>531</v>
      </c>
      <c r="C514" s="2" t="s">
        <v>10</v>
      </c>
      <c r="D514" s="2" t="s">
        <v>16</v>
      </c>
      <c r="E514" s="2" t="s">
        <v>21</v>
      </c>
      <c r="F514" s="2">
        <v>7568.11</v>
      </c>
      <c r="G514" s="2">
        <v>1631.08</v>
      </c>
      <c r="H514" s="2">
        <v>6</v>
      </c>
      <c r="I514" s="2">
        <f t="shared" ref="I514:I577" si="24">(F514-G514)</f>
        <v>5937.03</v>
      </c>
      <c r="J514" s="2" t="str">
        <f t="shared" ref="J514:J577" si="25">TEXT(B514,"mmmm")</f>
        <v>March</v>
      </c>
      <c r="K514" s="9">
        <f t="shared" ref="K514:K577" si="26">(F514-G514)/F514</f>
        <v>0.78447987674597752</v>
      </c>
    </row>
    <row r="515" spans="1:11" x14ac:dyDescent="0.35">
      <c r="A515" s="2" t="s">
        <v>8</v>
      </c>
      <c r="B515" s="4" t="s">
        <v>9</v>
      </c>
      <c r="C515" s="2" t="s">
        <v>10</v>
      </c>
      <c r="D515" s="2" t="s">
        <v>11</v>
      </c>
      <c r="E515" s="2" t="s">
        <v>12</v>
      </c>
      <c r="F515" s="2">
        <v>3904.09</v>
      </c>
      <c r="G515" s="2">
        <v>658.34</v>
      </c>
      <c r="H515" s="2">
        <v>6</v>
      </c>
      <c r="I515" s="2">
        <f t="shared" si="24"/>
        <v>3245.75</v>
      </c>
      <c r="J515" s="2" t="str">
        <f t="shared" si="25"/>
        <v>August</v>
      </c>
      <c r="K515" s="9">
        <f t="shared" si="26"/>
        <v>0.83137171530369425</v>
      </c>
    </row>
    <row r="516" spans="1:11" x14ac:dyDescent="0.35">
      <c r="A516" s="2" t="s">
        <v>41</v>
      </c>
      <c r="B516" s="4" t="s">
        <v>42</v>
      </c>
      <c r="C516" s="2" t="s">
        <v>31</v>
      </c>
      <c r="D516" s="2" t="s">
        <v>11</v>
      </c>
      <c r="E516" s="2" t="s">
        <v>12</v>
      </c>
      <c r="F516" s="2">
        <v>15282.56</v>
      </c>
      <c r="G516" s="2">
        <v>3238.89</v>
      </c>
      <c r="H516" s="2">
        <v>20</v>
      </c>
      <c r="I516" s="2">
        <f t="shared" si="24"/>
        <v>12043.67</v>
      </c>
      <c r="J516" s="2" t="str">
        <f t="shared" si="25"/>
        <v>August</v>
      </c>
      <c r="K516" s="9">
        <f t="shared" si="26"/>
        <v>0.78806626638468946</v>
      </c>
    </row>
    <row r="517" spans="1:11" x14ac:dyDescent="0.35">
      <c r="A517" s="2" t="s">
        <v>43</v>
      </c>
      <c r="B517" s="4" t="s">
        <v>44</v>
      </c>
      <c r="C517" s="2" t="s">
        <v>15</v>
      </c>
      <c r="D517" s="2" t="s">
        <v>11</v>
      </c>
      <c r="E517" s="2" t="s">
        <v>12</v>
      </c>
      <c r="F517" s="2">
        <v>18612.89</v>
      </c>
      <c r="G517" s="2">
        <v>4955.78</v>
      </c>
      <c r="H517" s="2">
        <v>2</v>
      </c>
      <c r="I517" s="2">
        <f t="shared" si="24"/>
        <v>13657.11</v>
      </c>
      <c r="J517" s="2" t="str">
        <f t="shared" si="25"/>
        <v>March</v>
      </c>
      <c r="K517" s="9">
        <f t="shared" si="26"/>
        <v>0.73374473281688124</v>
      </c>
    </row>
    <row r="518" spans="1:11" x14ac:dyDescent="0.35">
      <c r="A518" s="2" t="s">
        <v>67</v>
      </c>
      <c r="B518" s="4" t="s">
        <v>68</v>
      </c>
      <c r="C518" s="2" t="s">
        <v>31</v>
      </c>
      <c r="D518" s="2" t="s">
        <v>11</v>
      </c>
      <c r="E518" s="2" t="s">
        <v>12</v>
      </c>
      <c r="F518" s="2">
        <v>45825.65</v>
      </c>
      <c r="G518" s="2">
        <v>6998.31</v>
      </c>
      <c r="H518" s="2">
        <v>2</v>
      </c>
      <c r="I518" s="2">
        <f t="shared" si="24"/>
        <v>38827.340000000004</v>
      </c>
      <c r="J518" s="2" t="str">
        <f t="shared" si="25"/>
        <v>March</v>
      </c>
      <c r="K518" s="9">
        <f t="shared" si="26"/>
        <v>0.84728399924496445</v>
      </c>
    </row>
    <row r="519" spans="1:11" x14ac:dyDescent="0.35">
      <c r="A519" s="2" t="s">
        <v>69</v>
      </c>
      <c r="B519" s="4" t="s">
        <v>70</v>
      </c>
      <c r="C519" s="2" t="s">
        <v>27</v>
      </c>
      <c r="D519" s="2" t="s">
        <v>11</v>
      </c>
      <c r="E519" s="2" t="s">
        <v>17</v>
      </c>
      <c r="F519" s="2">
        <v>44050.01</v>
      </c>
      <c r="G519" s="2">
        <v>5657.53</v>
      </c>
      <c r="H519" s="2">
        <v>9</v>
      </c>
      <c r="I519" s="2">
        <f t="shared" si="24"/>
        <v>38392.480000000003</v>
      </c>
      <c r="J519" s="2" t="str">
        <f t="shared" si="25"/>
        <v>October</v>
      </c>
      <c r="K519" s="9">
        <f t="shared" si="26"/>
        <v>0.87156574992832014</v>
      </c>
    </row>
    <row r="520" spans="1:11" x14ac:dyDescent="0.35">
      <c r="A520" s="2" t="s">
        <v>106</v>
      </c>
      <c r="B520" s="4" t="s">
        <v>107</v>
      </c>
      <c r="C520" s="2" t="s">
        <v>10</v>
      </c>
      <c r="D520" s="2" t="s">
        <v>11</v>
      </c>
      <c r="E520" s="2" t="s">
        <v>12</v>
      </c>
      <c r="F520" s="2">
        <v>20906.330000000002</v>
      </c>
      <c r="G520" s="2">
        <v>6028.99</v>
      </c>
      <c r="H520" s="2">
        <v>9</v>
      </c>
      <c r="I520" s="2">
        <f t="shared" si="24"/>
        <v>14877.340000000002</v>
      </c>
      <c r="J520" s="2" t="str">
        <f t="shared" si="25"/>
        <v>September</v>
      </c>
      <c r="K520" s="9">
        <f t="shared" si="26"/>
        <v>0.71161892115928527</v>
      </c>
    </row>
    <row r="521" spans="1:11" x14ac:dyDescent="0.35">
      <c r="A521" s="2" t="s">
        <v>112</v>
      </c>
      <c r="B521" s="4" t="s">
        <v>113</v>
      </c>
      <c r="C521" s="2" t="s">
        <v>31</v>
      </c>
      <c r="D521" s="2" t="s">
        <v>11</v>
      </c>
      <c r="E521" s="2" t="s">
        <v>21</v>
      </c>
      <c r="F521" s="2">
        <v>31580.19</v>
      </c>
      <c r="G521" s="2">
        <v>3099.17</v>
      </c>
      <c r="H521" s="2">
        <v>14</v>
      </c>
      <c r="I521" s="2">
        <f t="shared" si="24"/>
        <v>28481.019999999997</v>
      </c>
      <c r="J521" s="2" t="str">
        <f t="shared" si="25"/>
        <v>May</v>
      </c>
      <c r="K521" s="9">
        <f t="shared" si="26"/>
        <v>0.90186347833879399</v>
      </c>
    </row>
    <row r="522" spans="1:11" x14ac:dyDescent="0.35">
      <c r="A522" s="2" t="s">
        <v>151</v>
      </c>
      <c r="B522" s="4" t="s">
        <v>91</v>
      </c>
      <c r="C522" s="2" t="s">
        <v>10</v>
      </c>
      <c r="D522" s="2" t="s">
        <v>11</v>
      </c>
      <c r="E522" s="2" t="s">
        <v>17</v>
      </c>
      <c r="F522" s="2">
        <v>47502.9</v>
      </c>
      <c r="G522" s="2">
        <v>6231.68</v>
      </c>
      <c r="H522" s="2">
        <v>14</v>
      </c>
      <c r="I522" s="2">
        <f t="shared" si="24"/>
        <v>41271.22</v>
      </c>
      <c r="J522" s="2" t="str">
        <f t="shared" si="25"/>
        <v>June</v>
      </c>
      <c r="K522" s="9">
        <f t="shared" si="26"/>
        <v>0.86881474604708342</v>
      </c>
    </row>
    <row r="523" spans="1:11" x14ac:dyDescent="0.35">
      <c r="A523" s="2" t="s">
        <v>163</v>
      </c>
      <c r="B523" s="4" t="s">
        <v>164</v>
      </c>
      <c r="C523" s="2" t="s">
        <v>27</v>
      </c>
      <c r="D523" s="2" t="s">
        <v>11</v>
      </c>
      <c r="E523" s="2" t="s">
        <v>12</v>
      </c>
      <c r="F523" s="2">
        <v>27086.02</v>
      </c>
      <c r="G523" s="2">
        <v>8008.35</v>
      </c>
      <c r="H523" s="2">
        <v>11</v>
      </c>
      <c r="I523" s="2">
        <f t="shared" si="24"/>
        <v>19077.669999999998</v>
      </c>
      <c r="J523" s="2" t="str">
        <f t="shared" si="25"/>
        <v>April</v>
      </c>
      <c r="K523" s="9">
        <f t="shared" si="26"/>
        <v>0.70433640675152709</v>
      </c>
    </row>
    <row r="524" spans="1:11" x14ac:dyDescent="0.35">
      <c r="A524" s="2" t="s">
        <v>165</v>
      </c>
      <c r="B524" s="4" t="s">
        <v>166</v>
      </c>
      <c r="C524" s="2" t="s">
        <v>27</v>
      </c>
      <c r="D524" s="2" t="s">
        <v>11</v>
      </c>
      <c r="E524" s="2" t="s">
        <v>17</v>
      </c>
      <c r="F524" s="2">
        <v>16807.07</v>
      </c>
      <c r="G524" s="2">
        <v>847.14</v>
      </c>
      <c r="H524" s="2">
        <v>13</v>
      </c>
      <c r="I524" s="2">
        <f t="shared" si="24"/>
        <v>15959.93</v>
      </c>
      <c r="J524" s="2" t="str">
        <f t="shared" si="25"/>
        <v>August</v>
      </c>
      <c r="K524" s="9">
        <f t="shared" si="26"/>
        <v>0.94959621159428742</v>
      </c>
    </row>
    <row r="525" spans="1:11" x14ac:dyDescent="0.35">
      <c r="A525" s="2" t="s">
        <v>188</v>
      </c>
      <c r="B525" s="4" t="s">
        <v>189</v>
      </c>
      <c r="C525" s="2" t="s">
        <v>31</v>
      </c>
      <c r="D525" s="2" t="s">
        <v>11</v>
      </c>
      <c r="E525" s="2" t="s">
        <v>21</v>
      </c>
      <c r="F525" s="2">
        <v>35659.53</v>
      </c>
      <c r="G525" s="2">
        <v>3183.72</v>
      </c>
      <c r="H525" s="2">
        <v>16</v>
      </c>
      <c r="I525" s="2">
        <f t="shared" si="24"/>
        <v>32475.809999999998</v>
      </c>
      <c r="J525" s="2" t="str">
        <f t="shared" si="25"/>
        <v>May</v>
      </c>
      <c r="K525" s="9">
        <f t="shared" si="26"/>
        <v>0.91071895787745938</v>
      </c>
    </row>
    <row r="526" spans="1:11" x14ac:dyDescent="0.35">
      <c r="A526" s="2" t="s">
        <v>198</v>
      </c>
      <c r="B526" s="4" t="s">
        <v>199</v>
      </c>
      <c r="C526" s="2" t="s">
        <v>10</v>
      </c>
      <c r="D526" s="2" t="s">
        <v>11</v>
      </c>
      <c r="E526" s="2" t="s">
        <v>21</v>
      </c>
      <c r="F526" s="2">
        <v>6096.08</v>
      </c>
      <c r="G526" s="2">
        <v>1193.3900000000001</v>
      </c>
      <c r="H526" s="2">
        <v>18</v>
      </c>
      <c r="I526" s="2">
        <f t="shared" si="24"/>
        <v>4902.6899999999996</v>
      </c>
      <c r="J526" s="2" t="str">
        <f t="shared" si="25"/>
        <v>December</v>
      </c>
      <c r="K526" s="9">
        <f t="shared" si="26"/>
        <v>0.80423649295940991</v>
      </c>
    </row>
    <row r="527" spans="1:11" x14ac:dyDescent="0.35">
      <c r="A527" s="2" t="s">
        <v>205</v>
      </c>
      <c r="B527" s="4" t="s">
        <v>91</v>
      </c>
      <c r="C527" s="2" t="s">
        <v>27</v>
      </c>
      <c r="D527" s="2" t="s">
        <v>11</v>
      </c>
      <c r="E527" s="2" t="s">
        <v>12</v>
      </c>
      <c r="F527" s="2">
        <v>38827.33</v>
      </c>
      <c r="G527" s="2">
        <v>7865.18</v>
      </c>
      <c r="H527" s="2">
        <v>10</v>
      </c>
      <c r="I527" s="2">
        <f t="shared" si="24"/>
        <v>30962.15</v>
      </c>
      <c r="J527" s="2" t="str">
        <f t="shared" si="25"/>
        <v>June</v>
      </c>
      <c r="K527" s="9">
        <f t="shared" si="26"/>
        <v>0.79743186049620207</v>
      </c>
    </row>
    <row r="528" spans="1:11" x14ac:dyDescent="0.35">
      <c r="A528" s="2" t="s">
        <v>231</v>
      </c>
      <c r="B528" s="4" t="s">
        <v>232</v>
      </c>
      <c r="C528" s="2" t="s">
        <v>27</v>
      </c>
      <c r="D528" s="2" t="s">
        <v>11</v>
      </c>
      <c r="E528" s="2" t="s">
        <v>21</v>
      </c>
      <c r="F528" s="2">
        <v>18668.740000000002</v>
      </c>
      <c r="G528" s="2">
        <v>3671.53</v>
      </c>
      <c r="H528" s="2">
        <v>18</v>
      </c>
      <c r="I528" s="2">
        <f t="shared" si="24"/>
        <v>14997.210000000001</v>
      </c>
      <c r="J528" s="2" t="str">
        <f t="shared" si="25"/>
        <v>December</v>
      </c>
      <c r="K528" s="9">
        <f t="shared" si="26"/>
        <v>0.80333273697100072</v>
      </c>
    </row>
    <row r="529" spans="1:11" x14ac:dyDescent="0.35">
      <c r="A529" s="2" t="s">
        <v>242</v>
      </c>
      <c r="B529" s="4" t="s">
        <v>243</v>
      </c>
      <c r="C529" s="2" t="s">
        <v>31</v>
      </c>
      <c r="D529" s="2" t="s">
        <v>11</v>
      </c>
      <c r="E529" s="2" t="s">
        <v>17</v>
      </c>
      <c r="F529" s="2">
        <v>14577.8</v>
      </c>
      <c r="G529" s="2">
        <v>1560.98</v>
      </c>
      <c r="H529" s="2">
        <v>3</v>
      </c>
      <c r="I529" s="2">
        <f t="shared" si="24"/>
        <v>13016.82</v>
      </c>
      <c r="J529" s="2" t="str">
        <f t="shared" si="25"/>
        <v>April</v>
      </c>
      <c r="K529" s="9">
        <f t="shared" si="26"/>
        <v>0.89292074249886821</v>
      </c>
    </row>
    <row r="530" spans="1:11" x14ac:dyDescent="0.35">
      <c r="A530" s="2" t="s">
        <v>276</v>
      </c>
      <c r="B530" s="4" t="s">
        <v>277</v>
      </c>
      <c r="C530" s="2" t="s">
        <v>27</v>
      </c>
      <c r="D530" s="2" t="s">
        <v>11</v>
      </c>
      <c r="E530" s="2" t="s">
        <v>17</v>
      </c>
      <c r="F530" s="2">
        <v>44147.31</v>
      </c>
      <c r="G530" s="2">
        <v>8037.24</v>
      </c>
      <c r="H530" s="2">
        <v>15</v>
      </c>
      <c r="I530" s="2">
        <f t="shared" si="24"/>
        <v>36110.07</v>
      </c>
      <c r="J530" s="2" t="str">
        <f t="shared" si="25"/>
        <v>February</v>
      </c>
      <c r="K530" s="9">
        <f t="shared" si="26"/>
        <v>0.81794496652230908</v>
      </c>
    </row>
    <row r="531" spans="1:11" x14ac:dyDescent="0.35">
      <c r="A531" s="2" t="s">
        <v>280</v>
      </c>
      <c r="B531" s="4" t="s">
        <v>238</v>
      </c>
      <c r="C531" s="2" t="s">
        <v>10</v>
      </c>
      <c r="D531" s="2" t="s">
        <v>11</v>
      </c>
      <c r="E531" s="2" t="s">
        <v>12</v>
      </c>
      <c r="F531" s="2">
        <v>35898.400000000001</v>
      </c>
      <c r="G531" s="2">
        <v>10110.450000000001</v>
      </c>
      <c r="H531" s="2">
        <v>4</v>
      </c>
      <c r="I531" s="2">
        <f t="shared" si="24"/>
        <v>25787.95</v>
      </c>
      <c r="J531" s="2" t="str">
        <f t="shared" si="25"/>
        <v>August</v>
      </c>
      <c r="K531" s="9">
        <f t="shared" si="26"/>
        <v>0.71835931406413656</v>
      </c>
    </row>
    <row r="532" spans="1:11" x14ac:dyDescent="0.35">
      <c r="A532" s="2" t="s">
        <v>299</v>
      </c>
      <c r="B532" s="4" t="s">
        <v>300</v>
      </c>
      <c r="C532" s="2" t="s">
        <v>15</v>
      </c>
      <c r="D532" s="2" t="s">
        <v>11</v>
      </c>
      <c r="E532" s="2" t="s">
        <v>17</v>
      </c>
      <c r="F532" s="2">
        <v>43269.16</v>
      </c>
      <c r="G532" s="2">
        <v>4517.22</v>
      </c>
      <c r="H532" s="2">
        <v>19</v>
      </c>
      <c r="I532" s="2">
        <f t="shared" si="24"/>
        <v>38751.94</v>
      </c>
      <c r="J532" s="2" t="str">
        <f t="shared" si="25"/>
        <v>July</v>
      </c>
      <c r="K532" s="9">
        <f t="shared" si="26"/>
        <v>0.89560185591770214</v>
      </c>
    </row>
    <row r="533" spans="1:11" x14ac:dyDescent="0.35">
      <c r="A533" s="2" t="s">
        <v>324</v>
      </c>
      <c r="B533" s="4" t="s">
        <v>325</v>
      </c>
      <c r="C533" s="2" t="s">
        <v>10</v>
      </c>
      <c r="D533" s="2" t="s">
        <v>11</v>
      </c>
      <c r="E533" s="2" t="s">
        <v>21</v>
      </c>
      <c r="F533" s="2">
        <v>29951.19</v>
      </c>
      <c r="G533" s="2">
        <v>8285.4699999999993</v>
      </c>
      <c r="H533" s="2">
        <v>10</v>
      </c>
      <c r="I533" s="2">
        <f t="shared" si="24"/>
        <v>21665.72</v>
      </c>
      <c r="J533" s="2" t="str">
        <f t="shared" si="25"/>
        <v>December</v>
      </c>
      <c r="K533" s="9">
        <f t="shared" si="26"/>
        <v>0.72336758572864723</v>
      </c>
    </row>
    <row r="534" spans="1:11" x14ac:dyDescent="0.35">
      <c r="A534" s="2" t="s">
        <v>334</v>
      </c>
      <c r="B534" s="4" t="s">
        <v>335</v>
      </c>
      <c r="C534" s="2" t="s">
        <v>10</v>
      </c>
      <c r="D534" s="2" t="s">
        <v>11</v>
      </c>
      <c r="E534" s="2" t="s">
        <v>12</v>
      </c>
      <c r="F534" s="2">
        <v>23654.41</v>
      </c>
      <c r="G534" s="2">
        <v>5965.94</v>
      </c>
      <c r="H534" s="2">
        <v>1</v>
      </c>
      <c r="I534" s="2">
        <f t="shared" si="24"/>
        <v>17688.47</v>
      </c>
      <c r="J534" s="2" t="str">
        <f t="shared" si="25"/>
        <v>September</v>
      </c>
      <c r="K534" s="9">
        <f t="shared" si="26"/>
        <v>0.74778741046595543</v>
      </c>
    </row>
    <row r="535" spans="1:11" x14ac:dyDescent="0.35">
      <c r="A535" s="2" t="s">
        <v>342</v>
      </c>
      <c r="B535" s="4" t="s">
        <v>335</v>
      </c>
      <c r="C535" s="2" t="s">
        <v>15</v>
      </c>
      <c r="D535" s="2" t="s">
        <v>11</v>
      </c>
      <c r="E535" s="2" t="s">
        <v>17</v>
      </c>
      <c r="F535" s="2">
        <v>12738.26</v>
      </c>
      <c r="G535" s="2">
        <v>3492.24</v>
      </c>
      <c r="H535" s="2">
        <v>5</v>
      </c>
      <c r="I535" s="2">
        <f t="shared" si="24"/>
        <v>9246.02</v>
      </c>
      <c r="J535" s="2" t="str">
        <f t="shared" si="25"/>
        <v>September</v>
      </c>
      <c r="K535" s="9">
        <f t="shared" si="26"/>
        <v>0.72584638718317884</v>
      </c>
    </row>
    <row r="536" spans="1:11" x14ac:dyDescent="0.35">
      <c r="A536" s="2" t="s">
        <v>345</v>
      </c>
      <c r="B536" s="4" t="s">
        <v>346</v>
      </c>
      <c r="C536" s="2" t="s">
        <v>31</v>
      </c>
      <c r="D536" s="2" t="s">
        <v>11</v>
      </c>
      <c r="E536" s="2" t="s">
        <v>12</v>
      </c>
      <c r="F536" s="2">
        <v>43865.22</v>
      </c>
      <c r="G536" s="2">
        <v>11377.95</v>
      </c>
      <c r="H536" s="2">
        <v>3</v>
      </c>
      <c r="I536" s="2">
        <f t="shared" si="24"/>
        <v>32487.27</v>
      </c>
      <c r="J536" s="2" t="str">
        <f t="shared" si="25"/>
        <v>December</v>
      </c>
      <c r="K536" s="9">
        <f t="shared" si="26"/>
        <v>0.7406156859580324</v>
      </c>
    </row>
    <row r="537" spans="1:11" x14ac:dyDescent="0.35">
      <c r="A537" s="2" t="s">
        <v>351</v>
      </c>
      <c r="B537" s="4" t="s">
        <v>277</v>
      </c>
      <c r="C537" s="2" t="s">
        <v>31</v>
      </c>
      <c r="D537" s="2" t="s">
        <v>11</v>
      </c>
      <c r="E537" s="2" t="s">
        <v>17</v>
      </c>
      <c r="F537" s="2">
        <v>14020.62</v>
      </c>
      <c r="G537" s="2">
        <v>2193.36</v>
      </c>
      <c r="H537" s="2">
        <v>4</v>
      </c>
      <c r="I537" s="2">
        <f t="shared" si="24"/>
        <v>11827.26</v>
      </c>
      <c r="J537" s="2" t="str">
        <f t="shared" si="25"/>
        <v>February</v>
      </c>
      <c r="K537" s="9">
        <f t="shared" si="26"/>
        <v>0.84356183963333997</v>
      </c>
    </row>
    <row r="538" spans="1:11" x14ac:dyDescent="0.35">
      <c r="A538" s="2" t="s">
        <v>356</v>
      </c>
      <c r="B538" s="4" t="s">
        <v>353</v>
      </c>
      <c r="C538" s="2" t="s">
        <v>27</v>
      </c>
      <c r="D538" s="2" t="s">
        <v>11</v>
      </c>
      <c r="E538" s="2" t="s">
        <v>12</v>
      </c>
      <c r="F538" s="2">
        <v>47333.43</v>
      </c>
      <c r="G538" s="2">
        <v>7948.4</v>
      </c>
      <c r="H538" s="2">
        <v>2</v>
      </c>
      <c r="I538" s="2">
        <f t="shared" si="24"/>
        <v>39385.03</v>
      </c>
      <c r="J538" s="2" t="str">
        <f t="shared" si="25"/>
        <v>May</v>
      </c>
      <c r="K538" s="9">
        <f t="shared" si="26"/>
        <v>0.83207639928059296</v>
      </c>
    </row>
    <row r="539" spans="1:11" x14ac:dyDescent="0.35">
      <c r="A539" s="2" t="s">
        <v>373</v>
      </c>
      <c r="B539" s="4" t="s">
        <v>213</v>
      </c>
      <c r="C539" s="2" t="s">
        <v>31</v>
      </c>
      <c r="D539" s="2" t="s">
        <v>11</v>
      </c>
      <c r="E539" s="2" t="s">
        <v>21</v>
      </c>
      <c r="F539" s="2">
        <v>47608.08</v>
      </c>
      <c r="G539" s="2">
        <v>5224.42</v>
      </c>
      <c r="H539" s="2">
        <v>5</v>
      </c>
      <c r="I539" s="2">
        <f t="shared" si="24"/>
        <v>42383.66</v>
      </c>
      <c r="J539" s="2" t="str">
        <f t="shared" si="25"/>
        <v>November</v>
      </c>
      <c r="K539" s="9">
        <f t="shared" si="26"/>
        <v>0.89026190512198777</v>
      </c>
    </row>
    <row r="540" spans="1:11" x14ac:dyDescent="0.35">
      <c r="A540" s="2" t="s">
        <v>378</v>
      </c>
      <c r="B540" s="4" t="s">
        <v>379</v>
      </c>
      <c r="C540" s="2" t="s">
        <v>15</v>
      </c>
      <c r="D540" s="2" t="s">
        <v>11</v>
      </c>
      <c r="E540" s="2" t="s">
        <v>17</v>
      </c>
      <c r="F540" s="2">
        <v>47600.9</v>
      </c>
      <c r="G540" s="2">
        <v>8070.9</v>
      </c>
      <c r="H540" s="2">
        <v>16</v>
      </c>
      <c r="I540" s="2">
        <f t="shared" si="24"/>
        <v>39530</v>
      </c>
      <c r="J540" s="2" t="str">
        <f t="shared" si="25"/>
        <v>March</v>
      </c>
      <c r="K540" s="9">
        <f t="shared" si="26"/>
        <v>0.83044648315473024</v>
      </c>
    </row>
    <row r="541" spans="1:11" x14ac:dyDescent="0.35">
      <c r="A541" s="2" t="s">
        <v>380</v>
      </c>
      <c r="B541" s="4" t="s">
        <v>284</v>
      </c>
      <c r="C541" s="2" t="s">
        <v>31</v>
      </c>
      <c r="D541" s="2" t="s">
        <v>11</v>
      </c>
      <c r="E541" s="2" t="s">
        <v>21</v>
      </c>
      <c r="F541" s="2">
        <v>11295.96</v>
      </c>
      <c r="G541" s="2">
        <v>2396.46</v>
      </c>
      <c r="H541" s="2">
        <v>15</v>
      </c>
      <c r="I541" s="2">
        <f t="shared" si="24"/>
        <v>8899.5</v>
      </c>
      <c r="J541" s="2" t="str">
        <f t="shared" si="25"/>
        <v>October</v>
      </c>
      <c r="K541" s="9">
        <f t="shared" si="26"/>
        <v>0.7878480447876941</v>
      </c>
    </row>
    <row r="542" spans="1:11" x14ac:dyDescent="0.35">
      <c r="A542" s="2" t="s">
        <v>391</v>
      </c>
      <c r="B542" s="4" t="s">
        <v>392</v>
      </c>
      <c r="C542" s="2" t="s">
        <v>31</v>
      </c>
      <c r="D542" s="2" t="s">
        <v>11</v>
      </c>
      <c r="E542" s="2" t="s">
        <v>12</v>
      </c>
      <c r="F542" s="2">
        <v>43833.53</v>
      </c>
      <c r="G542" s="2">
        <v>10202.799999999999</v>
      </c>
      <c r="H542" s="2">
        <v>17</v>
      </c>
      <c r="I542" s="2">
        <f t="shared" si="24"/>
        <v>33630.729999999996</v>
      </c>
      <c r="J542" s="2" t="str">
        <f t="shared" si="25"/>
        <v>March</v>
      </c>
      <c r="K542" s="9">
        <f t="shared" si="26"/>
        <v>0.7672375462345834</v>
      </c>
    </row>
    <row r="543" spans="1:11" x14ac:dyDescent="0.35">
      <c r="A543" s="2" t="s">
        <v>393</v>
      </c>
      <c r="B543" s="4" t="s">
        <v>364</v>
      </c>
      <c r="C543" s="2" t="s">
        <v>27</v>
      </c>
      <c r="D543" s="2" t="s">
        <v>11</v>
      </c>
      <c r="E543" s="2" t="s">
        <v>21</v>
      </c>
      <c r="F543" s="2">
        <v>17071.04</v>
      </c>
      <c r="G543" s="2">
        <v>5088.5600000000004</v>
      </c>
      <c r="H543" s="2">
        <v>1</v>
      </c>
      <c r="I543" s="2">
        <f t="shared" si="24"/>
        <v>11982.48</v>
      </c>
      <c r="J543" s="2" t="str">
        <f t="shared" si="25"/>
        <v>April</v>
      </c>
      <c r="K543" s="9">
        <f t="shared" si="26"/>
        <v>0.70191857086621545</v>
      </c>
    </row>
    <row r="544" spans="1:11" x14ac:dyDescent="0.35">
      <c r="A544" s="2" t="s">
        <v>410</v>
      </c>
      <c r="B544" s="4" t="s">
        <v>411</v>
      </c>
      <c r="C544" s="2" t="s">
        <v>31</v>
      </c>
      <c r="D544" s="2" t="s">
        <v>11</v>
      </c>
      <c r="E544" s="2" t="s">
        <v>21</v>
      </c>
      <c r="F544" s="2">
        <v>32087.14</v>
      </c>
      <c r="G544" s="2">
        <v>2807.01</v>
      </c>
      <c r="H544" s="2">
        <v>18</v>
      </c>
      <c r="I544" s="2">
        <f t="shared" si="24"/>
        <v>29280.129999999997</v>
      </c>
      <c r="J544" s="2" t="str">
        <f t="shared" si="25"/>
        <v>November</v>
      </c>
      <c r="K544" s="9">
        <f t="shared" si="26"/>
        <v>0.91251915876578582</v>
      </c>
    </row>
    <row r="545" spans="1:11" x14ac:dyDescent="0.35">
      <c r="A545" s="2" t="s">
        <v>417</v>
      </c>
      <c r="B545" s="4" t="s">
        <v>418</v>
      </c>
      <c r="C545" s="2" t="s">
        <v>15</v>
      </c>
      <c r="D545" s="2" t="s">
        <v>11</v>
      </c>
      <c r="E545" s="2" t="s">
        <v>12</v>
      </c>
      <c r="F545" s="2">
        <v>39517.129999999997</v>
      </c>
      <c r="G545" s="2">
        <v>11379.96</v>
      </c>
      <c r="H545" s="2">
        <v>13</v>
      </c>
      <c r="I545" s="2">
        <f t="shared" si="24"/>
        <v>28137.17</v>
      </c>
      <c r="J545" s="2" t="str">
        <f t="shared" si="25"/>
        <v>April</v>
      </c>
      <c r="K545" s="9">
        <f t="shared" si="26"/>
        <v>0.71202463336785848</v>
      </c>
    </row>
    <row r="546" spans="1:11" x14ac:dyDescent="0.35">
      <c r="A546" s="2" t="s">
        <v>436</v>
      </c>
      <c r="B546" s="4" t="s">
        <v>437</v>
      </c>
      <c r="C546" s="2" t="s">
        <v>31</v>
      </c>
      <c r="D546" s="2" t="s">
        <v>11</v>
      </c>
      <c r="E546" s="2" t="s">
        <v>12</v>
      </c>
      <c r="F546" s="2">
        <v>34782.089999999997</v>
      </c>
      <c r="G546" s="2">
        <v>6290.12</v>
      </c>
      <c r="H546" s="2">
        <v>5</v>
      </c>
      <c r="I546" s="2">
        <f t="shared" si="24"/>
        <v>28491.969999999998</v>
      </c>
      <c r="J546" s="2" t="str">
        <f t="shared" si="25"/>
        <v>October</v>
      </c>
      <c r="K546" s="9">
        <f t="shared" si="26"/>
        <v>0.81915635316911661</v>
      </c>
    </row>
    <row r="547" spans="1:11" x14ac:dyDescent="0.35">
      <c r="A547" s="2" t="s">
        <v>453</v>
      </c>
      <c r="B547" s="4" t="s">
        <v>387</v>
      </c>
      <c r="C547" s="2" t="s">
        <v>27</v>
      </c>
      <c r="D547" s="2" t="s">
        <v>11</v>
      </c>
      <c r="E547" s="2" t="s">
        <v>17</v>
      </c>
      <c r="F547" s="2">
        <v>17455.849999999999</v>
      </c>
      <c r="G547" s="2">
        <v>2719.73</v>
      </c>
      <c r="H547" s="2">
        <v>13</v>
      </c>
      <c r="I547" s="2">
        <f t="shared" si="24"/>
        <v>14736.119999999999</v>
      </c>
      <c r="J547" s="2" t="str">
        <f t="shared" si="25"/>
        <v>July</v>
      </c>
      <c r="K547" s="9">
        <f t="shared" si="26"/>
        <v>0.84419378030860714</v>
      </c>
    </row>
    <row r="548" spans="1:11" x14ac:dyDescent="0.35">
      <c r="A548" s="2" t="s">
        <v>458</v>
      </c>
      <c r="B548" s="4" t="s">
        <v>250</v>
      </c>
      <c r="C548" s="2" t="s">
        <v>27</v>
      </c>
      <c r="D548" s="2" t="s">
        <v>11</v>
      </c>
      <c r="E548" s="2" t="s">
        <v>17</v>
      </c>
      <c r="F548" s="2">
        <v>5025.83</v>
      </c>
      <c r="G548" s="2">
        <v>1455.71</v>
      </c>
      <c r="H548" s="2">
        <v>12</v>
      </c>
      <c r="I548" s="2">
        <f t="shared" si="24"/>
        <v>3570.12</v>
      </c>
      <c r="J548" s="2" t="str">
        <f t="shared" si="25"/>
        <v>February</v>
      </c>
      <c r="K548" s="9">
        <f t="shared" si="26"/>
        <v>0.71035430963641821</v>
      </c>
    </row>
    <row r="549" spans="1:11" x14ac:dyDescent="0.35">
      <c r="A549" s="2" t="s">
        <v>465</v>
      </c>
      <c r="B549" s="4" t="s">
        <v>189</v>
      </c>
      <c r="C549" s="2" t="s">
        <v>27</v>
      </c>
      <c r="D549" s="2" t="s">
        <v>11</v>
      </c>
      <c r="E549" s="2" t="s">
        <v>17</v>
      </c>
      <c r="F549" s="2">
        <v>26276.959999999999</v>
      </c>
      <c r="G549" s="2">
        <v>3013.39</v>
      </c>
      <c r="H549" s="2">
        <v>17</v>
      </c>
      <c r="I549" s="2">
        <f t="shared" si="24"/>
        <v>23263.57</v>
      </c>
      <c r="J549" s="2" t="str">
        <f t="shared" si="25"/>
        <v>May</v>
      </c>
      <c r="K549" s="9">
        <f t="shared" si="26"/>
        <v>0.88532197027357806</v>
      </c>
    </row>
    <row r="550" spans="1:11" x14ac:dyDescent="0.35">
      <c r="A550" s="2" t="s">
        <v>475</v>
      </c>
      <c r="B550" s="4" t="s">
        <v>476</v>
      </c>
      <c r="C550" s="2" t="s">
        <v>15</v>
      </c>
      <c r="D550" s="2" t="s">
        <v>11</v>
      </c>
      <c r="E550" s="2" t="s">
        <v>17</v>
      </c>
      <c r="F550" s="2">
        <v>16581.07</v>
      </c>
      <c r="G550" s="2">
        <v>2305.38</v>
      </c>
      <c r="H550" s="2">
        <v>1</v>
      </c>
      <c r="I550" s="2">
        <f t="shared" si="24"/>
        <v>14275.689999999999</v>
      </c>
      <c r="J550" s="2" t="str">
        <f t="shared" si="25"/>
        <v>September</v>
      </c>
      <c r="K550" s="9">
        <f t="shared" si="26"/>
        <v>0.86096313446599038</v>
      </c>
    </row>
    <row r="551" spans="1:11" x14ac:dyDescent="0.35">
      <c r="A551" s="2" t="s">
        <v>478</v>
      </c>
      <c r="B551" s="4" t="s">
        <v>479</v>
      </c>
      <c r="C551" s="2" t="s">
        <v>10</v>
      </c>
      <c r="D551" s="2" t="s">
        <v>11</v>
      </c>
      <c r="E551" s="2" t="s">
        <v>12</v>
      </c>
      <c r="F551" s="2">
        <v>17533.97</v>
      </c>
      <c r="G551" s="2">
        <v>2309.38</v>
      </c>
      <c r="H551" s="2">
        <v>3</v>
      </c>
      <c r="I551" s="2">
        <f t="shared" si="24"/>
        <v>15224.59</v>
      </c>
      <c r="J551" s="2" t="str">
        <f t="shared" si="25"/>
        <v>December</v>
      </c>
      <c r="K551" s="9">
        <f t="shared" si="26"/>
        <v>0.86829109437280882</v>
      </c>
    </row>
    <row r="552" spans="1:11" x14ac:dyDescent="0.35">
      <c r="A552" s="2" t="s">
        <v>483</v>
      </c>
      <c r="B552" s="4" t="s">
        <v>484</v>
      </c>
      <c r="C552" s="2" t="s">
        <v>27</v>
      </c>
      <c r="D552" s="2" t="s">
        <v>11</v>
      </c>
      <c r="E552" s="2" t="s">
        <v>21</v>
      </c>
      <c r="F552" s="2">
        <v>28474.87</v>
      </c>
      <c r="G552" s="2">
        <v>3015.38</v>
      </c>
      <c r="H552" s="2">
        <v>20</v>
      </c>
      <c r="I552" s="2">
        <f t="shared" si="24"/>
        <v>25459.489999999998</v>
      </c>
      <c r="J552" s="2" t="str">
        <f t="shared" si="25"/>
        <v>November</v>
      </c>
      <c r="K552" s="9">
        <f t="shared" si="26"/>
        <v>0.89410381856001442</v>
      </c>
    </row>
    <row r="553" spans="1:11" x14ac:dyDescent="0.35">
      <c r="A553" s="2" t="s">
        <v>486</v>
      </c>
      <c r="B553" s="4" t="s">
        <v>243</v>
      </c>
      <c r="C553" s="2" t="s">
        <v>27</v>
      </c>
      <c r="D553" s="2" t="s">
        <v>11</v>
      </c>
      <c r="E553" s="2" t="s">
        <v>12</v>
      </c>
      <c r="F553" s="2">
        <v>16950.32</v>
      </c>
      <c r="G553" s="2">
        <v>2535.98</v>
      </c>
      <c r="H553" s="2">
        <v>12</v>
      </c>
      <c r="I553" s="2">
        <f t="shared" si="24"/>
        <v>14414.34</v>
      </c>
      <c r="J553" s="2" t="str">
        <f t="shared" si="25"/>
        <v>April</v>
      </c>
      <c r="K553" s="9">
        <f t="shared" si="26"/>
        <v>0.85038748531001185</v>
      </c>
    </row>
    <row r="554" spans="1:11" x14ac:dyDescent="0.35">
      <c r="A554" s="2" t="s">
        <v>488</v>
      </c>
      <c r="B554" s="4" t="s">
        <v>99</v>
      </c>
      <c r="C554" s="2" t="s">
        <v>27</v>
      </c>
      <c r="D554" s="2" t="s">
        <v>11</v>
      </c>
      <c r="E554" s="2" t="s">
        <v>17</v>
      </c>
      <c r="F554" s="2">
        <v>16108.5</v>
      </c>
      <c r="G554" s="2">
        <v>2029.24</v>
      </c>
      <c r="H554" s="2">
        <v>9</v>
      </c>
      <c r="I554" s="2">
        <f t="shared" si="24"/>
        <v>14079.26</v>
      </c>
      <c r="J554" s="2" t="str">
        <f t="shared" si="25"/>
        <v>July</v>
      </c>
      <c r="K554" s="9">
        <f t="shared" si="26"/>
        <v>0.87402675606046498</v>
      </c>
    </row>
    <row r="555" spans="1:11" x14ac:dyDescent="0.35">
      <c r="A555" s="2" t="s">
        <v>497</v>
      </c>
      <c r="B555" s="4" t="s">
        <v>140</v>
      </c>
      <c r="C555" s="2" t="s">
        <v>27</v>
      </c>
      <c r="D555" s="2" t="s">
        <v>11</v>
      </c>
      <c r="E555" s="2" t="s">
        <v>12</v>
      </c>
      <c r="F555" s="2">
        <v>4836.17</v>
      </c>
      <c r="G555" s="2">
        <v>1211.4100000000001</v>
      </c>
      <c r="H555" s="2">
        <v>10</v>
      </c>
      <c r="I555" s="2">
        <f t="shared" si="24"/>
        <v>3624.76</v>
      </c>
      <c r="J555" s="2" t="str">
        <f t="shared" si="25"/>
        <v>November</v>
      </c>
      <c r="K555" s="9">
        <f t="shared" si="26"/>
        <v>0.74951045972329344</v>
      </c>
    </row>
    <row r="556" spans="1:11" x14ac:dyDescent="0.35">
      <c r="A556" s="2" t="s">
        <v>501</v>
      </c>
      <c r="B556" s="4" t="s">
        <v>113</v>
      </c>
      <c r="C556" s="2" t="s">
        <v>10</v>
      </c>
      <c r="D556" s="2" t="s">
        <v>11</v>
      </c>
      <c r="E556" s="2" t="s">
        <v>21</v>
      </c>
      <c r="F556" s="2">
        <v>39176.019999999997</v>
      </c>
      <c r="G556" s="2">
        <v>9679.4699999999993</v>
      </c>
      <c r="H556" s="2">
        <v>17</v>
      </c>
      <c r="I556" s="2">
        <f t="shared" si="24"/>
        <v>29496.549999999996</v>
      </c>
      <c r="J556" s="2" t="str">
        <f t="shared" si="25"/>
        <v>May</v>
      </c>
      <c r="K556" s="9">
        <f t="shared" si="26"/>
        <v>0.7529235996918523</v>
      </c>
    </row>
    <row r="557" spans="1:11" x14ac:dyDescent="0.35">
      <c r="A557" s="2" t="s">
        <v>505</v>
      </c>
      <c r="B557" s="4" t="s">
        <v>113</v>
      </c>
      <c r="C557" s="2" t="s">
        <v>31</v>
      </c>
      <c r="D557" s="2" t="s">
        <v>11</v>
      </c>
      <c r="E557" s="2" t="s">
        <v>17</v>
      </c>
      <c r="F557" s="2">
        <v>24986.93</v>
      </c>
      <c r="G557" s="2">
        <v>4542.16</v>
      </c>
      <c r="H557" s="2">
        <v>16</v>
      </c>
      <c r="I557" s="2">
        <f t="shared" si="24"/>
        <v>20444.77</v>
      </c>
      <c r="J557" s="2" t="str">
        <f t="shared" si="25"/>
        <v>May</v>
      </c>
      <c r="K557" s="9">
        <f t="shared" si="26"/>
        <v>0.81821856466560716</v>
      </c>
    </row>
    <row r="558" spans="1:11" x14ac:dyDescent="0.35">
      <c r="A558" s="2" t="s">
        <v>507</v>
      </c>
      <c r="B558" s="4" t="s">
        <v>508</v>
      </c>
      <c r="C558" s="2" t="s">
        <v>15</v>
      </c>
      <c r="D558" s="2" t="s">
        <v>11</v>
      </c>
      <c r="E558" s="2" t="s">
        <v>17</v>
      </c>
      <c r="F558" s="2">
        <v>31387.77</v>
      </c>
      <c r="G558" s="2">
        <v>2085.02</v>
      </c>
      <c r="H558" s="2">
        <v>17</v>
      </c>
      <c r="I558" s="2">
        <f t="shared" si="24"/>
        <v>29302.75</v>
      </c>
      <c r="J558" s="2" t="str">
        <f t="shared" si="25"/>
        <v>November</v>
      </c>
      <c r="K558" s="9">
        <f t="shared" si="26"/>
        <v>0.93357221618483888</v>
      </c>
    </row>
    <row r="559" spans="1:11" x14ac:dyDescent="0.35">
      <c r="A559" s="2" t="s">
        <v>510</v>
      </c>
      <c r="B559" s="4" t="s">
        <v>46</v>
      </c>
      <c r="C559" s="2" t="s">
        <v>15</v>
      </c>
      <c r="D559" s="2" t="s">
        <v>11</v>
      </c>
      <c r="E559" s="2" t="s">
        <v>12</v>
      </c>
      <c r="F559" s="2">
        <v>40396.54</v>
      </c>
      <c r="G559" s="2">
        <v>10553.15</v>
      </c>
      <c r="H559" s="2">
        <v>5</v>
      </c>
      <c r="I559" s="2">
        <f t="shared" si="24"/>
        <v>29843.39</v>
      </c>
      <c r="J559" s="2" t="str">
        <f t="shared" si="25"/>
        <v>October</v>
      </c>
      <c r="K559" s="9">
        <f t="shared" si="26"/>
        <v>0.73876104240610707</v>
      </c>
    </row>
    <row r="560" spans="1:11" x14ac:dyDescent="0.35">
      <c r="A560" s="2" t="s">
        <v>511</v>
      </c>
      <c r="B560" s="4" t="s">
        <v>447</v>
      </c>
      <c r="C560" s="2" t="s">
        <v>27</v>
      </c>
      <c r="D560" s="2" t="s">
        <v>11</v>
      </c>
      <c r="E560" s="2" t="s">
        <v>12</v>
      </c>
      <c r="F560" s="2">
        <v>26201.14</v>
      </c>
      <c r="G560" s="2">
        <v>5316.24</v>
      </c>
      <c r="H560" s="2">
        <v>14</v>
      </c>
      <c r="I560" s="2">
        <f t="shared" si="24"/>
        <v>20884.900000000001</v>
      </c>
      <c r="J560" s="2" t="str">
        <f t="shared" si="25"/>
        <v>August</v>
      </c>
      <c r="K560" s="9">
        <f t="shared" si="26"/>
        <v>0.79709890485681167</v>
      </c>
    </row>
    <row r="561" spans="1:11" x14ac:dyDescent="0.35">
      <c r="A561" s="2" t="s">
        <v>524</v>
      </c>
      <c r="B561" s="4" t="s">
        <v>525</v>
      </c>
      <c r="C561" s="2" t="s">
        <v>27</v>
      </c>
      <c r="D561" s="2" t="s">
        <v>11</v>
      </c>
      <c r="E561" s="2" t="s">
        <v>21</v>
      </c>
      <c r="F561" s="2">
        <v>13781.09</v>
      </c>
      <c r="G561" s="2">
        <v>1876.48</v>
      </c>
      <c r="H561" s="2">
        <v>17</v>
      </c>
      <c r="I561" s="2">
        <f t="shared" si="24"/>
        <v>11904.61</v>
      </c>
      <c r="J561" s="2" t="str">
        <f t="shared" si="25"/>
        <v>May</v>
      </c>
      <c r="K561" s="9">
        <f t="shared" si="26"/>
        <v>0.86383660508711579</v>
      </c>
    </row>
    <row r="562" spans="1:11" x14ac:dyDescent="0.35">
      <c r="A562" s="2" t="s">
        <v>542</v>
      </c>
      <c r="B562" s="4" t="s">
        <v>543</v>
      </c>
      <c r="C562" s="2" t="s">
        <v>10</v>
      </c>
      <c r="D562" s="2" t="s">
        <v>11</v>
      </c>
      <c r="E562" s="2" t="s">
        <v>17</v>
      </c>
      <c r="F562" s="2">
        <v>35891.61</v>
      </c>
      <c r="G562" s="2">
        <v>7154.71</v>
      </c>
      <c r="H562" s="2">
        <v>11</v>
      </c>
      <c r="I562" s="2">
        <f t="shared" si="24"/>
        <v>28736.9</v>
      </c>
      <c r="J562" s="2" t="str">
        <f t="shared" si="25"/>
        <v>September</v>
      </c>
      <c r="K562" s="9">
        <f t="shared" si="26"/>
        <v>0.80065786962468388</v>
      </c>
    </row>
    <row r="563" spans="1:11" x14ac:dyDescent="0.35">
      <c r="A563" s="2" t="s">
        <v>546</v>
      </c>
      <c r="B563" s="4" t="s">
        <v>44</v>
      </c>
      <c r="C563" s="2" t="s">
        <v>27</v>
      </c>
      <c r="D563" s="2" t="s">
        <v>11</v>
      </c>
      <c r="E563" s="2" t="s">
        <v>12</v>
      </c>
      <c r="F563" s="2">
        <v>4871.21</v>
      </c>
      <c r="G563" s="2">
        <v>387.86</v>
      </c>
      <c r="H563" s="2">
        <v>7</v>
      </c>
      <c r="I563" s="2">
        <f t="shared" si="24"/>
        <v>4483.3500000000004</v>
      </c>
      <c r="J563" s="2" t="str">
        <f t="shared" si="25"/>
        <v>March</v>
      </c>
      <c r="K563" s="9">
        <f t="shared" si="26"/>
        <v>0.92037707263698354</v>
      </c>
    </row>
    <row r="564" spans="1:11" x14ac:dyDescent="0.35">
      <c r="A564" s="2" t="s">
        <v>552</v>
      </c>
      <c r="B564" s="4" t="s">
        <v>271</v>
      </c>
      <c r="C564" s="2" t="s">
        <v>10</v>
      </c>
      <c r="D564" s="2" t="s">
        <v>11</v>
      </c>
      <c r="E564" s="2" t="s">
        <v>21</v>
      </c>
      <c r="F564" s="2">
        <v>14956.17</v>
      </c>
      <c r="G564" s="2">
        <v>3805.86</v>
      </c>
      <c r="H564" s="2">
        <v>9</v>
      </c>
      <c r="I564" s="2">
        <f t="shared" si="24"/>
        <v>11150.31</v>
      </c>
      <c r="J564" s="2" t="str">
        <f t="shared" si="25"/>
        <v>May</v>
      </c>
      <c r="K564" s="9">
        <f t="shared" si="26"/>
        <v>0.74553244580664702</v>
      </c>
    </row>
    <row r="565" spans="1:11" x14ac:dyDescent="0.35">
      <c r="A565" s="2" t="s">
        <v>555</v>
      </c>
      <c r="B565" s="4" t="s">
        <v>142</v>
      </c>
      <c r="C565" s="2" t="s">
        <v>15</v>
      </c>
      <c r="D565" s="2" t="s">
        <v>11</v>
      </c>
      <c r="E565" s="2" t="s">
        <v>21</v>
      </c>
      <c r="F565" s="2">
        <v>44344.86</v>
      </c>
      <c r="G565" s="2">
        <v>10424.31</v>
      </c>
      <c r="H565" s="2">
        <v>1</v>
      </c>
      <c r="I565" s="2">
        <f t="shared" si="24"/>
        <v>33920.550000000003</v>
      </c>
      <c r="J565" s="2" t="str">
        <f t="shared" si="25"/>
        <v>September</v>
      </c>
      <c r="K565" s="9">
        <f t="shared" si="26"/>
        <v>0.76492630713007104</v>
      </c>
    </row>
    <row r="566" spans="1:11" x14ac:dyDescent="0.35">
      <c r="A566" s="2" t="s">
        <v>560</v>
      </c>
      <c r="B566" s="4" t="s">
        <v>91</v>
      </c>
      <c r="C566" s="2" t="s">
        <v>31</v>
      </c>
      <c r="D566" s="2" t="s">
        <v>11</v>
      </c>
      <c r="E566" s="2" t="s">
        <v>21</v>
      </c>
      <c r="F566" s="2">
        <v>21350.6</v>
      </c>
      <c r="G566" s="2">
        <v>6293.56</v>
      </c>
      <c r="H566" s="2">
        <v>18</v>
      </c>
      <c r="I566" s="2">
        <f t="shared" si="24"/>
        <v>15057.039999999997</v>
      </c>
      <c r="J566" s="2" t="str">
        <f t="shared" si="25"/>
        <v>June</v>
      </c>
      <c r="K566" s="9">
        <f t="shared" si="26"/>
        <v>0.70522795612301281</v>
      </c>
    </row>
    <row r="567" spans="1:11" x14ac:dyDescent="0.35">
      <c r="A567" s="2" t="s">
        <v>568</v>
      </c>
      <c r="B567" s="4" t="s">
        <v>172</v>
      </c>
      <c r="C567" s="2" t="s">
        <v>10</v>
      </c>
      <c r="D567" s="2" t="s">
        <v>11</v>
      </c>
      <c r="E567" s="2" t="s">
        <v>21</v>
      </c>
      <c r="F567" s="2">
        <v>5628.72</v>
      </c>
      <c r="G567" s="2">
        <v>974.17</v>
      </c>
      <c r="H567" s="2">
        <v>18</v>
      </c>
      <c r="I567" s="2">
        <f t="shared" si="24"/>
        <v>4654.55</v>
      </c>
      <c r="J567" s="2" t="str">
        <f t="shared" si="25"/>
        <v>August</v>
      </c>
      <c r="K567" s="9">
        <f t="shared" si="26"/>
        <v>0.82692868005514575</v>
      </c>
    </row>
    <row r="568" spans="1:11" x14ac:dyDescent="0.35">
      <c r="A568" s="2" t="s">
        <v>573</v>
      </c>
      <c r="B568" s="4" t="s">
        <v>62</v>
      </c>
      <c r="C568" s="2" t="s">
        <v>15</v>
      </c>
      <c r="D568" s="2" t="s">
        <v>11</v>
      </c>
      <c r="E568" s="2" t="s">
        <v>21</v>
      </c>
      <c r="F568" s="2">
        <v>19985.240000000002</v>
      </c>
      <c r="G568" s="2">
        <v>3791.04</v>
      </c>
      <c r="H568" s="2">
        <v>16</v>
      </c>
      <c r="I568" s="2">
        <f t="shared" si="24"/>
        <v>16194.2</v>
      </c>
      <c r="J568" s="2" t="str">
        <f t="shared" si="25"/>
        <v>January</v>
      </c>
      <c r="K568" s="9">
        <f t="shared" si="26"/>
        <v>0.81030800730939434</v>
      </c>
    </row>
    <row r="569" spans="1:11" x14ac:dyDescent="0.35">
      <c r="A569" s="2" t="s">
        <v>585</v>
      </c>
      <c r="B569" s="4" t="s">
        <v>355</v>
      </c>
      <c r="C569" s="2" t="s">
        <v>31</v>
      </c>
      <c r="D569" s="2" t="s">
        <v>11</v>
      </c>
      <c r="E569" s="2" t="s">
        <v>21</v>
      </c>
      <c r="F569" s="2">
        <v>27815.89</v>
      </c>
      <c r="G569" s="2">
        <v>5280.81</v>
      </c>
      <c r="H569" s="2">
        <v>14</v>
      </c>
      <c r="I569" s="2">
        <f t="shared" si="24"/>
        <v>22535.079999999998</v>
      </c>
      <c r="J569" s="2" t="str">
        <f t="shared" si="25"/>
        <v>July</v>
      </c>
      <c r="K569" s="9">
        <f t="shared" si="26"/>
        <v>0.81015131998293055</v>
      </c>
    </row>
    <row r="570" spans="1:11" x14ac:dyDescent="0.35">
      <c r="A570" s="2" t="s">
        <v>592</v>
      </c>
      <c r="B570" s="4" t="s">
        <v>332</v>
      </c>
      <c r="C570" s="2" t="s">
        <v>15</v>
      </c>
      <c r="D570" s="2" t="s">
        <v>11</v>
      </c>
      <c r="E570" s="2" t="s">
        <v>21</v>
      </c>
      <c r="F570" s="2">
        <v>18733.419999999998</v>
      </c>
      <c r="G570" s="2">
        <v>2397.13</v>
      </c>
      <c r="H570" s="2">
        <v>7</v>
      </c>
      <c r="I570" s="2">
        <f t="shared" si="24"/>
        <v>16336.289999999997</v>
      </c>
      <c r="J570" s="2" t="str">
        <f t="shared" si="25"/>
        <v>April</v>
      </c>
      <c r="K570" s="9">
        <f t="shared" si="26"/>
        <v>0.87203991582957086</v>
      </c>
    </row>
    <row r="571" spans="1:11" x14ac:dyDescent="0.35">
      <c r="A571" s="2" t="s">
        <v>598</v>
      </c>
      <c r="B571" s="4" t="s">
        <v>599</v>
      </c>
      <c r="C571" s="2" t="s">
        <v>15</v>
      </c>
      <c r="D571" s="2" t="s">
        <v>11</v>
      </c>
      <c r="E571" s="2" t="s">
        <v>17</v>
      </c>
      <c r="F571" s="2">
        <v>47138.92</v>
      </c>
      <c r="G571" s="2">
        <v>4283.04</v>
      </c>
      <c r="H571" s="2">
        <v>5</v>
      </c>
      <c r="I571" s="2">
        <f t="shared" si="24"/>
        <v>42855.88</v>
      </c>
      <c r="J571" s="2" t="str">
        <f t="shared" si="25"/>
        <v>May</v>
      </c>
      <c r="K571" s="9">
        <f t="shared" si="26"/>
        <v>0.90914004818099348</v>
      </c>
    </row>
    <row r="572" spans="1:11" x14ac:dyDescent="0.35">
      <c r="A572" s="2" t="s">
        <v>611</v>
      </c>
      <c r="B572" s="4" t="s">
        <v>103</v>
      </c>
      <c r="C572" s="2" t="s">
        <v>10</v>
      </c>
      <c r="D572" s="2" t="s">
        <v>11</v>
      </c>
      <c r="E572" s="2" t="s">
        <v>17</v>
      </c>
      <c r="F572" s="2">
        <v>2876.83</v>
      </c>
      <c r="G572" s="2">
        <v>835.65</v>
      </c>
      <c r="H572" s="2">
        <v>8</v>
      </c>
      <c r="I572" s="2">
        <f t="shared" si="24"/>
        <v>2041.1799999999998</v>
      </c>
      <c r="J572" s="2" t="str">
        <f t="shared" si="25"/>
        <v>December</v>
      </c>
      <c r="K572" s="9">
        <f t="shared" si="26"/>
        <v>0.70952402470775122</v>
      </c>
    </row>
    <row r="573" spans="1:11" x14ac:dyDescent="0.35">
      <c r="A573" s="2" t="s">
        <v>621</v>
      </c>
      <c r="B573" s="4" t="s">
        <v>622</v>
      </c>
      <c r="C573" s="2" t="s">
        <v>27</v>
      </c>
      <c r="D573" s="2" t="s">
        <v>11</v>
      </c>
      <c r="E573" s="2" t="s">
        <v>21</v>
      </c>
      <c r="F573" s="2">
        <v>4711.55</v>
      </c>
      <c r="G573" s="2">
        <v>951.61</v>
      </c>
      <c r="H573" s="2">
        <v>18</v>
      </c>
      <c r="I573" s="2">
        <f t="shared" si="24"/>
        <v>3759.94</v>
      </c>
      <c r="J573" s="2" t="str">
        <f t="shared" si="25"/>
        <v>January</v>
      </c>
      <c r="K573" s="9">
        <f t="shared" si="26"/>
        <v>0.79802612728295352</v>
      </c>
    </row>
    <row r="574" spans="1:11" x14ac:dyDescent="0.35">
      <c r="A574" s="2" t="s">
        <v>623</v>
      </c>
      <c r="B574" s="4" t="s">
        <v>624</v>
      </c>
      <c r="C574" s="2" t="s">
        <v>27</v>
      </c>
      <c r="D574" s="2" t="s">
        <v>11</v>
      </c>
      <c r="E574" s="2" t="s">
        <v>12</v>
      </c>
      <c r="F574" s="2">
        <v>34137.85</v>
      </c>
      <c r="G574" s="2">
        <v>6882.47</v>
      </c>
      <c r="H574" s="2">
        <v>16</v>
      </c>
      <c r="I574" s="2">
        <f t="shared" si="24"/>
        <v>27255.379999999997</v>
      </c>
      <c r="J574" s="2" t="str">
        <f t="shared" si="25"/>
        <v>August</v>
      </c>
      <c r="K574" s="9">
        <f t="shared" si="26"/>
        <v>0.79839181436440776</v>
      </c>
    </row>
    <row r="575" spans="1:11" x14ac:dyDescent="0.35">
      <c r="A575" s="2" t="s">
        <v>625</v>
      </c>
      <c r="B575" s="4" t="s">
        <v>379</v>
      </c>
      <c r="C575" s="2" t="s">
        <v>15</v>
      </c>
      <c r="D575" s="2" t="s">
        <v>11</v>
      </c>
      <c r="E575" s="2" t="s">
        <v>21</v>
      </c>
      <c r="F575" s="2">
        <v>35407.78</v>
      </c>
      <c r="G575" s="2">
        <v>3836.55</v>
      </c>
      <c r="H575" s="2">
        <v>3</v>
      </c>
      <c r="I575" s="2">
        <f t="shared" si="24"/>
        <v>31571.23</v>
      </c>
      <c r="J575" s="2" t="str">
        <f t="shared" si="25"/>
        <v>March</v>
      </c>
      <c r="K575" s="9">
        <f t="shared" si="26"/>
        <v>0.89164669459649826</v>
      </c>
    </row>
    <row r="576" spans="1:11" x14ac:dyDescent="0.35">
      <c r="A576" s="2" t="s">
        <v>627</v>
      </c>
      <c r="B576" s="4" t="s">
        <v>628</v>
      </c>
      <c r="C576" s="2" t="s">
        <v>31</v>
      </c>
      <c r="D576" s="2" t="s">
        <v>11</v>
      </c>
      <c r="E576" s="2" t="s">
        <v>17</v>
      </c>
      <c r="F576" s="2">
        <v>38914.29</v>
      </c>
      <c r="G576" s="2">
        <v>6427.94</v>
      </c>
      <c r="H576" s="2">
        <v>14</v>
      </c>
      <c r="I576" s="2">
        <f t="shared" si="24"/>
        <v>32486.350000000002</v>
      </c>
      <c r="J576" s="2" t="str">
        <f t="shared" si="25"/>
        <v>February</v>
      </c>
      <c r="K576" s="9">
        <f t="shared" si="26"/>
        <v>0.83481800644441928</v>
      </c>
    </row>
    <row r="577" spans="1:11" x14ac:dyDescent="0.35">
      <c r="A577" s="2" t="s">
        <v>629</v>
      </c>
      <c r="B577" s="4" t="s">
        <v>601</v>
      </c>
      <c r="C577" s="2" t="s">
        <v>27</v>
      </c>
      <c r="D577" s="2" t="s">
        <v>11</v>
      </c>
      <c r="E577" s="2" t="s">
        <v>21</v>
      </c>
      <c r="F577" s="2">
        <v>36183.85</v>
      </c>
      <c r="G577" s="2">
        <v>8260.2999999999993</v>
      </c>
      <c r="H577" s="2">
        <v>10</v>
      </c>
      <c r="I577" s="2">
        <f t="shared" si="24"/>
        <v>27923.55</v>
      </c>
      <c r="J577" s="2" t="str">
        <f t="shared" si="25"/>
        <v>June</v>
      </c>
      <c r="K577" s="9">
        <f t="shared" si="26"/>
        <v>0.77171307088659724</v>
      </c>
    </row>
    <row r="578" spans="1:11" x14ac:dyDescent="0.35">
      <c r="A578" s="2" t="s">
        <v>635</v>
      </c>
      <c r="B578" s="4" t="s">
        <v>189</v>
      </c>
      <c r="C578" s="2" t="s">
        <v>31</v>
      </c>
      <c r="D578" s="2" t="s">
        <v>11</v>
      </c>
      <c r="E578" s="2" t="s">
        <v>21</v>
      </c>
      <c r="F578" s="2">
        <v>29309.75</v>
      </c>
      <c r="G578" s="2">
        <v>4237.34</v>
      </c>
      <c r="H578" s="2">
        <v>16</v>
      </c>
      <c r="I578" s="2">
        <f t="shared" ref="I578:I641" si="27">(F578-G578)</f>
        <v>25072.41</v>
      </c>
      <c r="J578" s="2" t="str">
        <f t="shared" ref="J578:J641" si="28">TEXT(B578,"mmmm")</f>
        <v>May</v>
      </c>
      <c r="K578" s="9">
        <f t="shared" ref="K578:K641" si="29">(F578-G578)/F578</f>
        <v>0.85542899547079043</v>
      </c>
    </row>
    <row r="579" spans="1:11" x14ac:dyDescent="0.35">
      <c r="A579" s="2" t="s">
        <v>646</v>
      </c>
      <c r="B579" s="4" t="s">
        <v>413</v>
      </c>
      <c r="C579" s="2" t="s">
        <v>31</v>
      </c>
      <c r="D579" s="2" t="s">
        <v>11</v>
      </c>
      <c r="E579" s="2" t="s">
        <v>17</v>
      </c>
      <c r="F579" s="2">
        <v>12694.08</v>
      </c>
      <c r="G579" s="2">
        <v>3346.08</v>
      </c>
      <c r="H579" s="2">
        <v>14</v>
      </c>
      <c r="I579" s="2">
        <f t="shared" si="27"/>
        <v>9348</v>
      </c>
      <c r="J579" s="2" t="str">
        <f t="shared" si="28"/>
        <v>April</v>
      </c>
      <c r="K579" s="9">
        <f t="shared" si="29"/>
        <v>0.73640626181653179</v>
      </c>
    </row>
    <row r="580" spans="1:11" x14ac:dyDescent="0.35">
      <c r="A580" s="2" t="s">
        <v>657</v>
      </c>
      <c r="B580" s="4" t="s">
        <v>658</v>
      </c>
      <c r="C580" s="2" t="s">
        <v>31</v>
      </c>
      <c r="D580" s="2" t="s">
        <v>11</v>
      </c>
      <c r="E580" s="2" t="s">
        <v>12</v>
      </c>
      <c r="F580" s="2">
        <v>47536.52</v>
      </c>
      <c r="G580" s="2">
        <v>10281.719999999999</v>
      </c>
      <c r="H580" s="2">
        <v>20</v>
      </c>
      <c r="I580" s="2">
        <f t="shared" si="27"/>
        <v>37254.799999999996</v>
      </c>
      <c r="J580" s="2" t="str">
        <f t="shared" si="28"/>
        <v>May</v>
      </c>
      <c r="K580" s="9">
        <f t="shared" si="29"/>
        <v>0.78370903044648621</v>
      </c>
    </row>
    <row r="581" spans="1:11" x14ac:dyDescent="0.35">
      <c r="A581" s="2" t="s">
        <v>663</v>
      </c>
      <c r="B581" s="4" t="s">
        <v>456</v>
      </c>
      <c r="C581" s="2" t="s">
        <v>31</v>
      </c>
      <c r="D581" s="2" t="s">
        <v>11</v>
      </c>
      <c r="E581" s="2" t="s">
        <v>17</v>
      </c>
      <c r="F581" s="2">
        <v>12411.95</v>
      </c>
      <c r="G581" s="2">
        <v>1564.56</v>
      </c>
      <c r="H581" s="2">
        <v>5</v>
      </c>
      <c r="I581" s="2">
        <f t="shared" si="27"/>
        <v>10847.390000000001</v>
      </c>
      <c r="J581" s="2" t="str">
        <f t="shared" si="28"/>
        <v>April</v>
      </c>
      <c r="K581" s="9">
        <f t="shared" si="29"/>
        <v>0.87394728467323834</v>
      </c>
    </row>
    <row r="582" spans="1:11" x14ac:dyDescent="0.35">
      <c r="A582" s="2" t="s">
        <v>668</v>
      </c>
      <c r="B582" s="4" t="s">
        <v>669</v>
      </c>
      <c r="C582" s="2" t="s">
        <v>31</v>
      </c>
      <c r="D582" s="2" t="s">
        <v>11</v>
      </c>
      <c r="E582" s="2" t="s">
        <v>21</v>
      </c>
      <c r="F582" s="2">
        <v>43189.86</v>
      </c>
      <c r="G582" s="2">
        <v>12950.98</v>
      </c>
      <c r="H582" s="2">
        <v>12</v>
      </c>
      <c r="I582" s="2">
        <f t="shared" si="27"/>
        <v>30238.880000000001</v>
      </c>
      <c r="J582" s="2" t="str">
        <f t="shared" si="28"/>
        <v>May</v>
      </c>
      <c r="K582" s="9">
        <f t="shared" si="29"/>
        <v>0.70013841211802952</v>
      </c>
    </row>
    <row r="583" spans="1:11" x14ac:dyDescent="0.35">
      <c r="A583" s="2" t="s">
        <v>676</v>
      </c>
      <c r="B583" s="4" t="s">
        <v>265</v>
      </c>
      <c r="C583" s="2" t="s">
        <v>27</v>
      </c>
      <c r="D583" s="2" t="s">
        <v>11</v>
      </c>
      <c r="E583" s="2" t="s">
        <v>21</v>
      </c>
      <c r="F583" s="2">
        <v>29877.23</v>
      </c>
      <c r="G583" s="2">
        <v>6288.12</v>
      </c>
      <c r="H583" s="2">
        <v>5</v>
      </c>
      <c r="I583" s="2">
        <f t="shared" si="27"/>
        <v>23589.11</v>
      </c>
      <c r="J583" s="2" t="str">
        <f t="shared" si="28"/>
        <v>October</v>
      </c>
      <c r="K583" s="9">
        <f t="shared" si="29"/>
        <v>0.78953470586128638</v>
      </c>
    </row>
    <row r="584" spans="1:11" x14ac:dyDescent="0.35">
      <c r="A584" s="2" t="s">
        <v>688</v>
      </c>
      <c r="B584" s="4" t="s">
        <v>166</v>
      </c>
      <c r="C584" s="2" t="s">
        <v>10</v>
      </c>
      <c r="D584" s="2" t="s">
        <v>11</v>
      </c>
      <c r="E584" s="2" t="s">
        <v>17</v>
      </c>
      <c r="F584" s="2">
        <v>4719.7700000000004</v>
      </c>
      <c r="G584" s="2">
        <v>386.68</v>
      </c>
      <c r="H584" s="2">
        <v>7</v>
      </c>
      <c r="I584" s="2">
        <f t="shared" si="27"/>
        <v>4333.09</v>
      </c>
      <c r="J584" s="2" t="str">
        <f t="shared" si="28"/>
        <v>August</v>
      </c>
      <c r="K584" s="9">
        <f t="shared" si="29"/>
        <v>0.91807227894579602</v>
      </c>
    </row>
    <row r="585" spans="1:11" x14ac:dyDescent="0.35">
      <c r="A585" s="2" t="s">
        <v>692</v>
      </c>
      <c r="B585" s="4" t="s">
        <v>693</v>
      </c>
      <c r="C585" s="2" t="s">
        <v>31</v>
      </c>
      <c r="D585" s="2" t="s">
        <v>11</v>
      </c>
      <c r="E585" s="2" t="s">
        <v>21</v>
      </c>
      <c r="F585" s="2">
        <v>11571.11</v>
      </c>
      <c r="G585" s="2">
        <v>3449.86</v>
      </c>
      <c r="H585" s="2">
        <v>20</v>
      </c>
      <c r="I585" s="2">
        <f t="shared" si="27"/>
        <v>8121.25</v>
      </c>
      <c r="J585" s="2" t="str">
        <f t="shared" si="28"/>
        <v>November</v>
      </c>
      <c r="K585" s="9">
        <f t="shared" si="29"/>
        <v>0.70185574244821802</v>
      </c>
    </row>
    <row r="586" spans="1:11" x14ac:dyDescent="0.35">
      <c r="A586" s="2" t="s">
        <v>695</v>
      </c>
      <c r="B586" s="4" t="s">
        <v>696</v>
      </c>
      <c r="C586" s="2" t="s">
        <v>10</v>
      </c>
      <c r="D586" s="2" t="s">
        <v>11</v>
      </c>
      <c r="E586" s="2" t="s">
        <v>21</v>
      </c>
      <c r="F586" s="2">
        <v>49371.7</v>
      </c>
      <c r="G586" s="2">
        <v>6277.67</v>
      </c>
      <c r="H586" s="2">
        <v>9</v>
      </c>
      <c r="I586" s="2">
        <f t="shared" si="27"/>
        <v>43094.03</v>
      </c>
      <c r="J586" s="2" t="str">
        <f t="shared" si="28"/>
        <v>May</v>
      </c>
      <c r="K586" s="9">
        <f t="shared" si="29"/>
        <v>0.87284881825013116</v>
      </c>
    </row>
    <row r="587" spans="1:11" x14ac:dyDescent="0.35">
      <c r="A587" s="2" t="s">
        <v>718</v>
      </c>
      <c r="B587" s="4" t="s">
        <v>719</v>
      </c>
      <c r="C587" s="2" t="s">
        <v>10</v>
      </c>
      <c r="D587" s="2" t="s">
        <v>11</v>
      </c>
      <c r="E587" s="2" t="s">
        <v>17</v>
      </c>
      <c r="F587" s="2">
        <v>22052.02</v>
      </c>
      <c r="G587" s="2">
        <v>3073.48</v>
      </c>
      <c r="H587" s="2">
        <v>12</v>
      </c>
      <c r="I587" s="2">
        <f t="shared" si="27"/>
        <v>18978.54</v>
      </c>
      <c r="J587" s="2" t="str">
        <f t="shared" si="28"/>
        <v>September</v>
      </c>
      <c r="K587" s="9">
        <f t="shared" si="29"/>
        <v>0.86062591998374749</v>
      </c>
    </row>
    <row r="588" spans="1:11" x14ac:dyDescent="0.35">
      <c r="A588" s="2" t="s">
        <v>750</v>
      </c>
      <c r="B588" s="4" t="s">
        <v>30</v>
      </c>
      <c r="C588" s="2" t="s">
        <v>15</v>
      </c>
      <c r="D588" s="2" t="s">
        <v>11</v>
      </c>
      <c r="E588" s="2" t="s">
        <v>17</v>
      </c>
      <c r="F588" s="2">
        <v>15974.69</v>
      </c>
      <c r="G588" s="2">
        <v>4188.1499999999996</v>
      </c>
      <c r="H588" s="2">
        <v>16</v>
      </c>
      <c r="I588" s="2">
        <f t="shared" si="27"/>
        <v>11786.54</v>
      </c>
      <c r="J588" s="2" t="str">
        <f t="shared" si="28"/>
        <v>June</v>
      </c>
      <c r="K588" s="9">
        <f t="shared" si="29"/>
        <v>0.73782589834294132</v>
      </c>
    </row>
    <row r="589" spans="1:11" x14ac:dyDescent="0.35">
      <c r="A589" s="2" t="s">
        <v>770</v>
      </c>
      <c r="B589" s="4" t="s">
        <v>686</v>
      </c>
      <c r="C589" s="2" t="s">
        <v>27</v>
      </c>
      <c r="D589" s="2" t="s">
        <v>11</v>
      </c>
      <c r="E589" s="2" t="s">
        <v>12</v>
      </c>
      <c r="F589" s="2">
        <v>15597</v>
      </c>
      <c r="G589" s="2">
        <v>1534.64</v>
      </c>
      <c r="H589" s="2">
        <v>9</v>
      </c>
      <c r="I589" s="2">
        <f t="shared" si="27"/>
        <v>14062.36</v>
      </c>
      <c r="J589" s="2" t="str">
        <f t="shared" si="28"/>
        <v>June</v>
      </c>
      <c r="K589" s="9">
        <f t="shared" si="29"/>
        <v>0.90160671924087965</v>
      </c>
    </row>
    <row r="590" spans="1:11" x14ac:dyDescent="0.35">
      <c r="A590" s="2" t="s">
        <v>771</v>
      </c>
      <c r="B590" s="4" t="s">
        <v>442</v>
      </c>
      <c r="C590" s="2" t="s">
        <v>31</v>
      </c>
      <c r="D590" s="2" t="s">
        <v>11</v>
      </c>
      <c r="E590" s="2" t="s">
        <v>12</v>
      </c>
      <c r="F590" s="2">
        <v>7034.36</v>
      </c>
      <c r="G590" s="2">
        <v>863.36</v>
      </c>
      <c r="H590" s="2">
        <v>8</v>
      </c>
      <c r="I590" s="2">
        <f t="shared" si="27"/>
        <v>6171</v>
      </c>
      <c r="J590" s="2" t="str">
        <f t="shared" si="28"/>
        <v>October</v>
      </c>
      <c r="K590" s="9">
        <f t="shared" si="29"/>
        <v>0.87726530913970857</v>
      </c>
    </row>
    <row r="591" spans="1:11" x14ac:dyDescent="0.35">
      <c r="A591" s="2" t="s">
        <v>777</v>
      </c>
      <c r="B591" s="4" t="s">
        <v>9</v>
      </c>
      <c r="C591" s="2" t="s">
        <v>10</v>
      </c>
      <c r="D591" s="2" t="s">
        <v>11</v>
      </c>
      <c r="E591" s="2" t="s">
        <v>17</v>
      </c>
      <c r="F591" s="2">
        <v>5448.18</v>
      </c>
      <c r="G591" s="2">
        <v>1595.95</v>
      </c>
      <c r="H591" s="2">
        <v>15</v>
      </c>
      <c r="I591" s="2">
        <f t="shared" si="27"/>
        <v>3852.2300000000005</v>
      </c>
      <c r="J591" s="2" t="str">
        <f t="shared" si="28"/>
        <v>August</v>
      </c>
      <c r="K591" s="9">
        <f t="shared" si="29"/>
        <v>0.70706731422236424</v>
      </c>
    </row>
    <row r="592" spans="1:11" x14ac:dyDescent="0.35">
      <c r="A592" s="2" t="s">
        <v>784</v>
      </c>
      <c r="B592" s="4" t="s">
        <v>52</v>
      </c>
      <c r="C592" s="2" t="s">
        <v>27</v>
      </c>
      <c r="D592" s="2" t="s">
        <v>11</v>
      </c>
      <c r="E592" s="2" t="s">
        <v>12</v>
      </c>
      <c r="F592" s="2">
        <v>46869.29</v>
      </c>
      <c r="G592" s="2">
        <v>12627.37</v>
      </c>
      <c r="H592" s="2">
        <v>5</v>
      </c>
      <c r="I592" s="2">
        <f t="shared" si="27"/>
        <v>34241.919999999998</v>
      </c>
      <c r="J592" s="2" t="str">
        <f t="shared" si="28"/>
        <v>March</v>
      </c>
      <c r="K592" s="9">
        <f t="shared" si="29"/>
        <v>0.73058328811893669</v>
      </c>
    </row>
    <row r="593" spans="1:11" x14ac:dyDescent="0.35">
      <c r="A593" s="2" t="s">
        <v>808</v>
      </c>
      <c r="B593" s="4" t="s">
        <v>809</v>
      </c>
      <c r="C593" s="2" t="s">
        <v>27</v>
      </c>
      <c r="D593" s="2" t="s">
        <v>11</v>
      </c>
      <c r="E593" s="2" t="s">
        <v>12</v>
      </c>
      <c r="F593" s="2">
        <v>25016.97</v>
      </c>
      <c r="G593" s="2">
        <v>6767.28</v>
      </c>
      <c r="H593" s="2">
        <v>9</v>
      </c>
      <c r="I593" s="2">
        <f t="shared" si="27"/>
        <v>18249.690000000002</v>
      </c>
      <c r="J593" s="2" t="str">
        <f t="shared" si="28"/>
        <v>May</v>
      </c>
      <c r="K593" s="9">
        <f t="shared" si="29"/>
        <v>0.72949242054493413</v>
      </c>
    </row>
    <row r="594" spans="1:11" x14ac:dyDescent="0.35">
      <c r="A594" s="2" t="s">
        <v>813</v>
      </c>
      <c r="B594" s="4" t="s">
        <v>803</v>
      </c>
      <c r="C594" s="2" t="s">
        <v>27</v>
      </c>
      <c r="D594" s="2" t="s">
        <v>11</v>
      </c>
      <c r="E594" s="2" t="s">
        <v>12</v>
      </c>
      <c r="F594" s="2">
        <v>1447.94</v>
      </c>
      <c r="G594" s="2">
        <v>348.17</v>
      </c>
      <c r="H594" s="2">
        <v>11</v>
      </c>
      <c r="I594" s="2">
        <f t="shared" si="27"/>
        <v>1099.77</v>
      </c>
      <c r="J594" s="2" t="str">
        <f t="shared" si="28"/>
        <v>June</v>
      </c>
      <c r="K594" s="9">
        <f t="shared" si="29"/>
        <v>0.7595411412075086</v>
      </c>
    </row>
    <row r="595" spans="1:11" x14ac:dyDescent="0.35">
      <c r="A595" s="2" t="s">
        <v>820</v>
      </c>
      <c r="B595" s="4" t="s">
        <v>162</v>
      </c>
      <c r="C595" s="2" t="s">
        <v>15</v>
      </c>
      <c r="D595" s="2" t="s">
        <v>11</v>
      </c>
      <c r="E595" s="2" t="s">
        <v>12</v>
      </c>
      <c r="F595" s="2">
        <v>3967.07</v>
      </c>
      <c r="G595" s="2">
        <v>711.02</v>
      </c>
      <c r="H595" s="2">
        <v>14</v>
      </c>
      <c r="I595" s="2">
        <f t="shared" si="27"/>
        <v>3256.05</v>
      </c>
      <c r="J595" s="2" t="str">
        <f t="shared" si="28"/>
        <v>July</v>
      </c>
      <c r="K595" s="9">
        <f t="shared" si="29"/>
        <v>0.82076948478348</v>
      </c>
    </row>
    <row r="596" spans="1:11" x14ac:dyDescent="0.35">
      <c r="A596" s="2" t="s">
        <v>826</v>
      </c>
      <c r="B596" s="4" t="s">
        <v>146</v>
      </c>
      <c r="C596" s="2" t="s">
        <v>27</v>
      </c>
      <c r="D596" s="2" t="s">
        <v>11</v>
      </c>
      <c r="E596" s="2" t="s">
        <v>21</v>
      </c>
      <c r="F596" s="2">
        <v>11863.64</v>
      </c>
      <c r="G596" s="2">
        <v>3001.82</v>
      </c>
      <c r="H596" s="2">
        <v>2</v>
      </c>
      <c r="I596" s="2">
        <f t="shared" si="27"/>
        <v>8861.82</v>
      </c>
      <c r="J596" s="2" t="str">
        <f t="shared" si="28"/>
        <v>August</v>
      </c>
      <c r="K596" s="9">
        <f t="shared" si="29"/>
        <v>0.74697310437606002</v>
      </c>
    </row>
    <row r="597" spans="1:11" x14ac:dyDescent="0.35">
      <c r="A597" s="2" t="s">
        <v>837</v>
      </c>
      <c r="B597" s="4" t="s">
        <v>339</v>
      </c>
      <c r="C597" s="2" t="s">
        <v>15</v>
      </c>
      <c r="D597" s="2" t="s">
        <v>11</v>
      </c>
      <c r="E597" s="2" t="s">
        <v>12</v>
      </c>
      <c r="F597" s="2">
        <v>14264.95</v>
      </c>
      <c r="G597" s="2">
        <v>1982.41</v>
      </c>
      <c r="H597" s="2">
        <v>10</v>
      </c>
      <c r="I597" s="2">
        <f t="shared" si="27"/>
        <v>12282.54</v>
      </c>
      <c r="J597" s="2" t="str">
        <f t="shared" si="28"/>
        <v>September</v>
      </c>
      <c r="K597" s="9">
        <f t="shared" si="29"/>
        <v>0.86102930609641115</v>
      </c>
    </row>
    <row r="598" spans="1:11" x14ac:dyDescent="0.35">
      <c r="A598" s="2" t="s">
        <v>845</v>
      </c>
      <c r="B598" s="4" t="s">
        <v>42</v>
      </c>
      <c r="C598" s="2" t="s">
        <v>15</v>
      </c>
      <c r="D598" s="2" t="s">
        <v>11</v>
      </c>
      <c r="E598" s="2" t="s">
        <v>17</v>
      </c>
      <c r="F598" s="2">
        <v>31903.59</v>
      </c>
      <c r="G598" s="2">
        <v>3358.46</v>
      </c>
      <c r="H598" s="2">
        <v>11</v>
      </c>
      <c r="I598" s="2">
        <f t="shared" si="27"/>
        <v>28545.13</v>
      </c>
      <c r="J598" s="2" t="str">
        <f t="shared" si="28"/>
        <v>August</v>
      </c>
      <c r="K598" s="9">
        <f t="shared" si="29"/>
        <v>0.89473096914798622</v>
      </c>
    </row>
    <row r="599" spans="1:11" x14ac:dyDescent="0.35">
      <c r="A599" s="2" t="s">
        <v>849</v>
      </c>
      <c r="B599" s="4" t="s">
        <v>185</v>
      </c>
      <c r="C599" s="2" t="s">
        <v>10</v>
      </c>
      <c r="D599" s="2" t="s">
        <v>11</v>
      </c>
      <c r="E599" s="2" t="s">
        <v>12</v>
      </c>
      <c r="F599" s="2">
        <v>12767.38</v>
      </c>
      <c r="G599" s="2">
        <v>3328.62</v>
      </c>
      <c r="H599" s="2">
        <v>2</v>
      </c>
      <c r="I599" s="2">
        <f t="shared" si="27"/>
        <v>9438.7599999999984</v>
      </c>
      <c r="J599" s="2" t="str">
        <f t="shared" si="28"/>
        <v>June</v>
      </c>
      <c r="K599" s="9">
        <f t="shared" si="29"/>
        <v>0.73928715210168405</v>
      </c>
    </row>
    <row r="600" spans="1:11" x14ac:dyDescent="0.35">
      <c r="A600" s="2" t="s">
        <v>850</v>
      </c>
      <c r="B600" s="4" t="s">
        <v>294</v>
      </c>
      <c r="C600" s="2" t="s">
        <v>15</v>
      </c>
      <c r="D600" s="2" t="s">
        <v>11</v>
      </c>
      <c r="E600" s="2" t="s">
        <v>21</v>
      </c>
      <c r="F600" s="2">
        <v>8432.7000000000007</v>
      </c>
      <c r="G600" s="2">
        <v>1759.67</v>
      </c>
      <c r="H600" s="2">
        <v>19</v>
      </c>
      <c r="I600" s="2">
        <f t="shared" si="27"/>
        <v>6673.0300000000007</v>
      </c>
      <c r="J600" s="2" t="str">
        <f t="shared" si="28"/>
        <v>June</v>
      </c>
      <c r="K600" s="9">
        <f t="shared" si="29"/>
        <v>0.79132780722662965</v>
      </c>
    </row>
    <row r="601" spans="1:11" x14ac:dyDescent="0.35">
      <c r="A601" s="2" t="s">
        <v>855</v>
      </c>
      <c r="B601" s="4" t="s">
        <v>48</v>
      </c>
      <c r="C601" s="2" t="s">
        <v>10</v>
      </c>
      <c r="D601" s="2" t="s">
        <v>11</v>
      </c>
      <c r="E601" s="2" t="s">
        <v>12</v>
      </c>
      <c r="F601" s="2">
        <v>42211.71</v>
      </c>
      <c r="G601" s="2">
        <v>2942.34</v>
      </c>
      <c r="H601" s="2">
        <v>18</v>
      </c>
      <c r="I601" s="2">
        <f t="shared" si="27"/>
        <v>39269.369999999995</v>
      </c>
      <c r="J601" s="2" t="str">
        <f t="shared" si="28"/>
        <v>October</v>
      </c>
      <c r="K601" s="9">
        <f t="shared" si="29"/>
        <v>0.93029564545004206</v>
      </c>
    </row>
    <row r="602" spans="1:11" x14ac:dyDescent="0.35">
      <c r="A602" s="2" t="s">
        <v>861</v>
      </c>
      <c r="B602" s="4" t="s">
        <v>862</v>
      </c>
      <c r="C602" s="2" t="s">
        <v>15</v>
      </c>
      <c r="D602" s="2" t="s">
        <v>11</v>
      </c>
      <c r="E602" s="2" t="s">
        <v>17</v>
      </c>
      <c r="F602" s="2">
        <v>39531.629999999997</v>
      </c>
      <c r="G602" s="2">
        <v>7365.95</v>
      </c>
      <c r="H602" s="2">
        <v>17</v>
      </c>
      <c r="I602" s="2">
        <f t="shared" si="27"/>
        <v>32165.679999999997</v>
      </c>
      <c r="J602" s="2" t="str">
        <f t="shared" si="28"/>
        <v>September</v>
      </c>
      <c r="K602" s="9">
        <f t="shared" si="29"/>
        <v>0.81366945911413213</v>
      </c>
    </row>
    <row r="603" spans="1:11" x14ac:dyDescent="0.35">
      <c r="A603" s="2" t="s">
        <v>863</v>
      </c>
      <c r="B603" s="4" t="s">
        <v>195</v>
      </c>
      <c r="C603" s="2" t="s">
        <v>27</v>
      </c>
      <c r="D603" s="2" t="s">
        <v>11</v>
      </c>
      <c r="E603" s="2" t="s">
        <v>12</v>
      </c>
      <c r="F603" s="2">
        <v>1749.79</v>
      </c>
      <c r="G603" s="2">
        <v>297.17</v>
      </c>
      <c r="H603" s="2">
        <v>15</v>
      </c>
      <c r="I603" s="2">
        <f t="shared" si="27"/>
        <v>1452.62</v>
      </c>
      <c r="J603" s="2" t="str">
        <f t="shared" si="28"/>
        <v>April</v>
      </c>
      <c r="K603" s="9">
        <f t="shared" si="29"/>
        <v>0.83016819161156474</v>
      </c>
    </row>
    <row r="604" spans="1:11" x14ac:dyDescent="0.35">
      <c r="A604" s="2" t="s">
        <v>866</v>
      </c>
      <c r="B604" s="4" t="s">
        <v>75</v>
      </c>
      <c r="C604" s="2" t="s">
        <v>27</v>
      </c>
      <c r="D604" s="2" t="s">
        <v>11</v>
      </c>
      <c r="E604" s="2" t="s">
        <v>21</v>
      </c>
      <c r="F604" s="2">
        <v>17766.169999999998</v>
      </c>
      <c r="G604" s="2">
        <v>1609.43</v>
      </c>
      <c r="H604" s="2">
        <v>8</v>
      </c>
      <c r="I604" s="2">
        <f t="shared" si="27"/>
        <v>16156.739999999998</v>
      </c>
      <c r="J604" s="2" t="str">
        <f t="shared" si="28"/>
        <v>April</v>
      </c>
      <c r="K604" s="9">
        <f t="shared" si="29"/>
        <v>0.90941041316164373</v>
      </c>
    </row>
    <row r="605" spans="1:11" x14ac:dyDescent="0.35">
      <c r="A605" s="2" t="s">
        <v>872</v>
      </c>
      <c r="B605" s="4" t="s">
        <v>257</v>
      </c>
      <c r="C605" s="2" t="s">
        <v>31</v>
      </c>
      <c r="D605" s="2" t="s">
        <v>11</v>
      </c>
      <c r="E605" s="2" t="s">
        <v>12</v>
      </c>
      <c r="F605" s="2">
        <v>9894.85</v>
      </c>
      <c r="G605" s="2">
        <v>1695.83</v>
      </c>
      <c r="H605" s="2">
        <v>20</v>
      </c>
      <c r="I605" s="2">
        <f t="shared" si="27"/>
        <v>8199.02</v>
      </c>
      <c r="J605" s="2" t="str">
        <f t="shared" si="28"/>
        <v>July</v>
      </c>
      <c r="K605" s="9">
        <f t="shared" si="29"/>
        <v>0.82861488552125606</v>
      </c>
    </row>
    <row r="606" spans="1:11" x14ac:dyDescent="0.35">
      <c r="A606" s="2" t="s">
        <v>883</v>
      </c>
      <c r="B606" s="4" t="s">
        <v>884</v>
      </c>
      <c r="C606" s="2" t="s">
        <v>10</v>
      </c>
      <c r="D606" s="2" t="s">
        <v>11</v>
      </c>
      <c r="E606" s="2" t="s">
        <v>12</v>
      </c>
      <c r="F606" s="2">
        <v>43370.96</v>
      </c>
      <c r="G606" s="2">
        <v>3014.66</v>
      </c>
      <c r="H606" s="2">
        <v>7</v>
      </c>
      <c r="I606" s="2">
        <f t="shared" si="27"/>
        <v>40356.300000000003</v>
      </c>
      <c r="J606" s="2" t="str">
        <f t="shared" si="28"/>
        <v>April</v>
      </c>
      <c r="K606" s="9">
        <f t="shared" si="29"/>
        <v>0.93049127803488796</v>
      </c>
    </row>
    <row r="607" spans="1:11" x14ac:dyDescent="0.35">
      <c r="A607" s="2" t="s">
        <v>894</v>
      </c>
      <c r="B607" s="4" t="s">
        <v>399</v>
      </c>
      <c r="C607" s="2" t="s">
        <v>27</v>
      </c>
      <c r="D607" s="2" t="s">
        <v>11</v>
      </c>
      <c r="E607" s="2" t="s">
        <v>12</v>
      </c>
      <c r="F607" s="2">
        <v>22059.15</v>
      </c>
      <c r="G607" s="2">
        <v>2475.58</v>
      </c>
      <c r="H607" s="2">
        <v>3</v>
      </c>
      <c r="I607" s="2">
        <f t="shared" si="27"/>
        <v>19583.57</v>
      </c>
      <c r="J607" s="2" t="str">
        <f t="shared" si="28"/>
        <v>June</v>
      </c>
      <c r="K607" s="9">
        <f t="shared" si="29"/>
        <v>0.88777536759122622</v>
      </c>
    </row>
    <row r="608" spans="1:11" x14ac:dyDescent="0.35">
      <c r="A608" s="2" t="s">
        <v>901</v>
      </c>
      <c r="B608" s="4" t="s">
        <v>406</v>
      </c>
      <c r="C608" s="2" t="s">
        <v>10</v>
      </c>
      <c r="D608" s="2" t="s">
        <v>11</v>
      </c>
      <c r="E608" s="2" t="s">
        <v>12</v>
      </c>
      <c r="F608" s="2">
        <v>34638.160000000003</v>
      </c>
      <c r="G608" s="2">
        <v>5902.8</v>
      </c>
      <c r="H608" s="2">
        <v>2</v>
      </c>
      <c r="I608" s="2">
        <f t="shared" si="27"/>
        <v>28735.360000000004</v>
      </c>
      <c r="J608" s="2" t="str">
        <f t="shared" si="28"/>
        <v>February</v>
      </c>
      <c r="K608" s="9">
        <f t="shared" si="29"/>
        <v>0.82958679098427868</v>
      </c>
    </row>
    <row r="609" spans="1:11" x14ac:dyDescent="0.35">
      <c r="A609" s="2" t="s">
        <v>902</v>
      </c>
      <c r="B609" s="4" t="s">
        <v>793</v>
      </c>
      <c r="C609" s="2" t="s">
        <v>15</v>
      </c>
      <c r="D609" s="2" t="s">
        <v>11</v>
      </c>
      <c r="E609" s="2" t="s">
        <v>17</v>
      </c>
      <c r="F609" s="2">
        <v>45165.56</v>
      </c>
      <c r="G609" s="2">
        <v>4211.0600000000004</v>
      </c>
      <c r="H609" s="2">
        <v>2</v>
      </c>
      <c r="I609" s="2">
        <f t="shared" si="27"/>
        <v>40954.5</v>
      </c>
      <c r="J609" s="2" t="str">
        <f t="shared" si="28"/>
        <v>March</v>
      </c>
      <c r="K609" s="9">
        <f t="shared" si="29"/>
        <v>0.90676391480588314</v>
      </c>
    </row>
    <row r="610" spans="1:11" x14ac:dyDescent="0.35">
      <c r="A610" s="2" t="s">
        <v>909</v>
      </c>
      <c r="B610" s="4" t="s">
        <v>857</v>
      </c>
      <c r="C610" s="2" t="s">
        <v>31</v>
      </c>
      <c r="D610" s="2" t="s">
        <v>11</v>
      </c>
      <c r="E610" s="2" t="s">
        <v>12</v>
      </c>
      <c r="F610" s="2">
        <v>38764.79</v>
      </c>
      <c r="G610" s="2">
        <v>5063.32</v>
      </c>
      <c r="H610" s="2">
        <v>19</v>
      </c>
      <c r="I610" s="2">
        <f t="shared" si="27"/>
        <v>33701.47</v>
      </c>
      <c r="J610" s="2" t="str">
        <f t="shared" si="28"/>
        <v>December</v>
      </c>
      <c r="K610" s="9">
        <f t="shared" si="29"/>
        <v>0.86938353077625341</v>
      </c>
    </row>
    <row r="611" spans="1:11" x14ac:dyDescent="0.35">
      <c r="A611" s="2" t="s">
        <v>915</v>
      </c>
      <c r="B611" s="4" t="s">
        <v>472</v>
      </c>
      <c r="C611" s="2" t="s">
        <v>10</v>
      </c>
      <c r="D611" s="2" t="s">
        <v>11</v>
      </c>
      <c r="E611" s="2" t="s">
        <v>21</v>
      </c>
      <c r="F611" s="2">
        <v>6152.69</v>
      </c>
      <c r="G611" s="2">
        <v>587.75</v>
      </c>
      <c r="H611" s="2">
        <v>1</v>
      </c>
      <c r="I611" s="2">
        <f t="shared" si="27"/>
        <v>5564.94</v>
      </c>
      <c r="J611" s="2" t="str">
        <f t="shared" si="28"/>
        <v>August</v>
      </c>
      <c r="K611" s="9">
        <f t="shared" si="29"/>
        <v>0.90447267780434248</v>
      </c>
    </row>
    <row r="612" spans="1:11" x14ac:dyDescent="0.35">
      <c r="A612" s="2" t="s">
        <v>927</v>
      </c>
      <c r="B612" s="4" t="s">
        <v>397</v>
      </c>
      <c r="C612" s="2" t="s">
        <v>31</v>
      </c>
      <c r="D612" s="2" t="s">
        <v>11</v>
      </c>
      <c r="E612" s="2" t="s">
        <v>12</v>
      </c>
      <c r="F612" s="2">
        <v>29439.45</v>
      </c>
      <c r="G612" s="2">
        <v>6446.34</v>
      </c>
      <c r="H612" s="2">
        <v>17</v>
      </c>
      <c r="I612" s="2">
        <f t="shared" si="27"/>
        <v>22993.11</v>
      </c>
      <c r="J612" s="2" t="str">
        <f t="shared" si="28"/>
        <v>April</v>
      </c>
      <c r="K612" s="9">
        <f t="shared" si="29"/>
        <v>0.78103055593769588</v>
      </c>
    </row>
    <row r="613" spans="1:11" x14ac:dyDescent="0.35">
      <c r="A613" s="2" t="s">
        <v>936</v>
      </c>
      <c r="B613" s="4" t="s">
        <v>937</v>
      </c>
      <c r="C613" s="2" t="s">
        <v>27</v>
      </c>
      <c r="D613" s="2" t="s">
        <v>11</v>
      </c>
      <c r="E613" s="2" t="s">
        <v>21</v>
      </c>
      <c r="F613" s="2">
        <v>33391.480000000003</v>
      </c>
      <c r="G613" s="2">
        <v>8147.85</v>
      </c>
      <c r="H613" s="2">
        <v>10</v>
      </c>
      <c r="I613" s="2">
        <f t="shared" si="27"/>
        <v>25243.630000000005</v>
      </c>
      <c r="J613" s="2" t="str">
        <f t="shared" si="28"/>
        <v>February</v>
      </c>
      <c r="K613" s="9">
        <f t="shared" si="29"/>
        <v>0.75599015078097775</v>
      </c>
    </row>
    <row r="614" spans="1:11" x14ac:dyDescent="0.35">
      <c r="A614" s="2" t="s">
        <v>946</v>
      </c>
      <c r="B614" s="4" t="s">
        <v>527</v>
      </c>
      <c r="C614" s="2" t="s">
        <v>10</v>
      </c>
      <c r="D614" s="2" t="s">
        <v>11</v>
      </c>
      <c r="E614" s="2" t="s">
        <v>21</v>
      </c>
      <c r="F614" s="2">
        <v>42827.24</v>
      </c>
      <c r="G614" s="2">
        <v>5653.91</v>
      </c>
      <c r="H614" s="2">
        <v>13</v>
      </c>
      <c r="I614" s="2">
        <f t="shared" si="27"/>
        <v>37173.33</v>
      </c>
      <c r="J614" s="2" t="str">
        <f t="shared" si="28"/>
        <v>March</v>
      </c>
      <c r="K614" s="9">
        <f t="shared" si="29"/>
        <v>0.86798332089576646</v>
      </c>
    </row>
    <row r="615" spans="1:11" x14ac:dyDescent="0.35">
      <c r="A615" s="2" t="s">
        <v>951</v>
      </c>
      <c r="B615" s="4" t="s">
        <v>952</v>
      </c>
      <c r="C615" s="2" t="s">
        <v>27</v>
      </c>
      <c r="D615" s="2" t="s">
        <v>11</v>
      </c>
      <c r="E615" s="2" t="s">
        <v>12</v>
      </c>
      <c r="F615" s="2">
        <v>9046.08</v>
      </c>
      <c r="G615" s="2">
        <v>1773</v>
      </c>
      <c r="H615" s="2">
        <v>7</v>
      </c>
      <c r="I615" s="2">
        <f t="shared" si="27"/>
        <v>7273.08</v>
      </c>
      <c r="J615" s="2" t="str">
        <f t="shared" si="28"/>
        <v>August</v>
      </c>
      <c r="K615" s="9">
        <f t="shared" si="29"/>
        <v>0.80400350206940463</v>
      </c>
    </row>
    <row r="616" spans="1:11" x14ac:dyDescent="0.35">
      <c r="A616" s="2" t="s">
        <v>954</v>
      </c>
      <c r="B616" s="4" t="s">
        <v>311</v>
      </c>
      <c r="C616" s="2" t="s">
        <v>10</v>
      </c>
      <c r="D616" s="2" t="s">
        <v>11</v>
      </c>
      <c r="E616" s="2" t="s">
        <v>21</v>
      </c>
      <c r="F616" s="2">
        <v>45596.23</v>
      </c>
      <c r="G616" s="2">
        <v>2734.08</v>
      </c>
      <c r="H616" s="2">
        <v>16</v>
      </c>
      <c r="I616" s="2">
        <f t="shared" si="27"/>
        <v>42862.15</v>
      </c>
      <c r="J616" s="2" t="str">
        <f t="shared" si="28"/>
        <v>June</v>
      </c>
      <c r="K616" s="9">
        <f t="shared" si="29"/>
        <v>0.94003714780805336</v>
      </c>
    </row>
    <row r="617" spans="1:11" x14ac:dyDescent="0.35">
      <c r="A617" s="2" t="s">
        <v>963</v>
      </c>
      <c r="B617" s="4" t="s">
        <v>321</v>
      </c>
      <c r="C617" s="2" t="s">
        <v>31</v>
      </c>
      <c r="D617" s="2" t="s">
        <v>11</v>
      </c>
      <c r="E617" s="2" t="s">
        <v>12</v>
      </c>
      <c r="F617" s="2">
        <v>43626.64</v>
      </c>
      <c r="G617" s="2">
        <v>12117.9</v>
      </c>
      <c r="H617" s="2">
        <v>16</v>
      </c>
      <c r="I617" s="2">
        <f t="shared" si="27"/>
        <v>31508.739999999998</v>
      </c>
      <c r="J617" s="2" t="str">
        <f t="shared" si="28"/>
        <v>September</v>
      </c>
      <c r="K617" s="9">
        <f t="shared" si="29"/>
        <v>0.72223622997324566</v>
      </c>
    </row>
    <row r="618" spans="1:11" x14ac:dyDescent="0.35">
      <c r="A618" s="2" t="s">
        <v>972</v>
      </c>
      <c r="B618" s="4" t="s">
        <v>822</v>
      </c>
      <c r="C618" s="2" t="s">
        <v>15</v>
      </c>
      <c r="D618" s="2" t="s">
        <v>11</v>
      </c>
      <c r="E618" s="2" t="s">
        <v>12</v>
      </c>
      <c r="F618" s="2">
        <v>6981.53</v>
      </c>
      <c r="G618" s="2">
        <v>1286.53</v>
      </c>
      <c r="H618" s="2">
        <v>4</v>
      </c>
      <c r="I618" s="2">
        <f t="shared" si="27"/>
        <v>5695</v>
      </c>
      <c r="J618" s="2" t="str">
        <f t="shared" si="28"/>
        <v>December</v>
      </c>
      <c r="K618" s="9">
        <f t="shared" si="29"/>
        <v>0.81572377401515139</v>
      </c>
    </row>
    <row r="619" spans="1:11" x14ac:dyDescent="0.35">
      <c r="A619" s="2" t="s">
        <v>976</v>
      </c>
      <c r="B619" s="4" t="s">
        <v>447</v>
      </c>
      <c r="C619" s="2" t="s">
        <v>10</v>
      </c>
      <c r="D619" s="2" t="s">
        <v>11</v>
      </c>
      <c r="E619" s="2" t="s">
        <v>17</v>
      </c>
      <c r="F619" s="2">
        <v>17313.240000000002</v>
      </c>
      <c r="G619" s="2">
        <v>1231.6500000000001</v>
      </c>
      <c r="H619" s="2">
        <v>9</v>
      </c>
      <c r="I619" s="2">
        <f t="shared" si="27"/>
        <v>16081.590000000002</v>
      </c>
      <c r="J619" s="2" t="str">
        <f t="shared" si="28"/>
        <v>August</v>
      </c>
      <c r="K619" s="9">
        <f t="shared" si="29"/>
        <v>0.9288608024841104</v>
      </c>
    </row>
    <row r="620" spans="1:11" x14ac:dyDescent="0.35">
      <c r="A620" s="2" t="s">
        <v>982</v>
      </c>
      <c r="B620" s="4" t="s">
        <v>406</v>
      </c>
      <c r="C620" s="2" t="s">
        <v>10</v>
      </c>
      <c r="D620" s="2" t="s">
        <v>11</v>
      </c>
      <c r="E620" s="2" t="s">
        <v>17</v>
      </c>
      <c r="F620" s="2">
        <v>18528.86</v>
      </c>
      <c r="G620" s="2">
        <v>4012.22</v>
      </c>
      <c r="H620" s="2">
        <v>8</v>
      </c>
      <c r="I620" s="2">
        <f t="shared" si="27"/>
        <v>14516.640000000001</v>
      </c>
      <c r="J620" s="2" t="str">
        <f t="shared" si="28"/>
        <v>February</v>
      </c>
      <c r="K620" s="9">
        <f t="shared" si="29"/>
        <v>0.7834610440145805</v>
      </c>
    </row>
    <row r="621" spans="1:11" x14ac:dyDescent="0.35">
      <c r="A621" s="2" t="s">
        <v>993</v>
      </c>
      <c r="B621" s="4" t="s">
        <v>994</v>
      </c>
      <c r="C621" s="2" t="s">
        <v>15</v>
      </c>
      <c r="D621" s="2" t="s">
        <v>11</v>
      </c>
      <c r="E621" s="2" t="s">
        <v>12</v>
      </c>
      <c r="F621" s="2">
        <v>12690.36</v>
      </c>
      <c r="G621" s="2">
        <v>2819.65</v>
      </c>
      <c r="H621" s="2">
        <v>15</v>
      </c>
      <c r="I621" s="2">
        <f t="shared" si="27"/>
        <v>9870.7100000000009</v>
      </c>
      <c r="J621" s="2" t="str">
        <f t="shared" si="28"/>
        <v>July</v>
      </c>
      <c r="K621" s="9">
        <f t="shared" si="29"/>
        <v>0.77781166176530847</v>
      </c>
    </row>
    <row r="622" spans="1:11" x14ac:dyDescent="0.35">
      <c r="A622" s="2" t="s">
        <v>1008</v>
      </c>
      <c r="B622" s="4" t="s">
        <v>305</v>
      </c>
      <c r="C622" s="2" t="s">
        <v>27</v>
      </c>
      <c r="D622" s="2" t="s">
        <v>11</v>
      </c>
      <c r="E622" s="2" t="s">
        <v>12</v>
      </c>
      <c r="F622" s="2">
        <v>23520.73</v>
      </c>
      <c r="G622" s="2">
        <v>4296.7</v>
      </c>
      <c r="H622" s="2">
        <v>20</v>
      </c>
      <c r="I622" s="2">
        <f t="shared" si="27"/>
        <v>19224.03</v>
      </c>
      <c r="J622" s="2" t="str">
        <f t="shared" si="28"/>
        <v>January</v>
      </c>
      <c r="K622" s="9">
        <f t="shared" si="29"/>
        <v>0.81732284669736011</v>
      </c>
    </row>
    <row r="623" spans="1:11" x14ac:dyDescent="0.35">
      <c r="A623" s="2" t="s">
        <v>1011</v>
      </c>
      <c r="B623" s="4" t="s">
        <v>36</v>
      </c>
      <c r="C623" s="2" t="s">
        <v>27</v>
      </c>
      <c r="D623" s="2" t="s">
        <v>11</v>
      </c>
      <c r="E623" s="2" t="s">
        <v>12</v>
      </c>
      <c r="F623" s="2">
        <v>26975.89</v>
      </c>
      <c r="G623" s="2">
        <v>1505.8</v>
      </c>
      <c r="H623" s="2">
        <v>14</v>
      </c>
      <c r="I623" s="2">
        <f t="shared" si="27"/>
        <v>25470.09</v>
      </c>
      <c r="J623" s="2" t="str">
        <f t="shared" si="28"/>
        <v>November</v>
      </c>
      <c r="K623" s="9">
        <f t="shared" si="29"/>
        <v>0.94417978424437532</v>
      </c>
    </row>
    <row r="624" spans="1:11" x14ac:dyDescent="0.35">
      <c r="A624" s="2" t="s">
        <v>1036</v>
      </c>
      <c r="B624" s="4" t="s">
        <v>696</v>
      </c>
      <c r="C624" s="2" t="s">
        <v>27</v>
      </c>
      <c r="D624" s="2" t="s">
        <v>11</v>
      </c>
      <c r="E624" s="2" t="s">
        <v>17</v>
      </c>
      <c r="F624" s="2">
        <v>43765.120000000003</v>
      </c>
      <c r="G624" s="2">
        <v>11482.09</v>
      </c>
      <c r="H624" s="2">
        <v>6</v>
      </c>
      <c r="I624" s="2">
        <f t="shared" si="27"/>
        <v>32283.030000000002</v>
      </c>
      <c r="J624" s="2" t="str">
        <f t="shared" si="28"/>
        <v>May</v>
      </c>
      <c r="K624" s="9">
        <f t="shared" si="29"/>
        <v>0.7376428991854701</v>
      </c>
    </row>
    <row r="625" spans="1:11" x14ac:dyDescent="0.35">
      <c r="A625" s="2" t="s">
        <v>1050</v>
      </c>
      <c r="B625" s="4" t="s">
        <v>250</v>
      </c>
      <c r="C625" s="2" t="s">
        <v>10</v>
      </c>
      <c r="D625" s="2" t="s">
        <v>11</v>
      </c>
      <c r="E625" s="2" t="s">
        <v>12</v>
      </c>
      <c r="F625" s="2">
        <v>26636.97</v>
      </c>
      <c r="G625" s="2">
        <v>7267.65</v>
      </c>
      <c r="H625" s="2">
        <v>12</v>
      </c>
      <c r="I625" s="2">
        <f t="shared" si="27"/>
        <v>19369.32</v>
      </c>
      <c r="J625" s="2" t="str">
        <f t="shared" si="28"/>
        <v>February</v>
      </c>
      <c r="K625" s="9">
        <f t="shared" si="29"/>
        <v>0.72715928275625941</v>
      </c>
    </row>
    <row r="626" spans="1:11" x14ac:dyDescent="0.35">
      <c r="A626" s="2" t="s">
        <v>1053</v>
      </c>
      <c r="B626" s="4" t="s">
        <v>271</v>
      </c>
      <c r="C626" s="2" t="s">
        <v>27</v>
      </c>
      <c r="D626" s="2" t="s">
        <v>11</v>
      </c>
      <c r="E626" s="2" t="s">
        <v>12</v>
      </c>
      <c r="F626" s="2">
        <v>48846.49</v>
      </c>
      <c r="G626" s="2">
        <v>7999.34</v>
      </c>
      <c r="H626" s="2">
        <v>13</v>
      </c>
      <c r="I626" s="2">
        <f t="shared" si="27"/>
        <v>40847.149999999994</v>
      </c>
      <c r="J626" s="2" t="str">
        <f t="shared" si="28"/>
        <v>May</v>
      </c>
      <c r="K626" s="9">
        <f t="shared" si="29"/>
        <v>0.83623511126387984</v>
      </c>
    </row>
    <row r="627" spans="1:11" x14ac:dyDescent="0.35">
      <c r="A627" s="2" t="s">
        <v>1063</v>
      </c>
      <c r="B627" s="4" t="s">
        <v>1064</v>
      </c>
      <c r="C627" s="2" t="s">
        <v>15</v>
      </c>
      <c r="D627" s="2" t="s">
        <v>11</v>
      </c>
      <c r="E627" s="2" t="s">
        <v>12</v>
      </c>
      <c r="F627" s="2">
        <v>40936.080000000002</v>
      </c>
      <c r="G627" s="2">
        <v>9209.1</v>
      </c>
      <c r="H627" s="2">
        <v>4</v>
      </c>
      <c r="I627" s="2">
        <f t="shared" si="27"/>
        <v>31726.980000000003</v>
      </c>
      <c r="J627" s="2" t="str">
        <f t="shared" si="28"/>
        <v>January</v>
      </c>
      <c r="K627" s="9">
        <f t="shared" si="29"/>
        <v>0.77503708220230183</v>
      </c>
    </row>
    <row r="628" spans="1:11" x14ac:dyDescent="0.35">
      <c r="A628" s="2" t="s">
        <v>1075</v>
      </c>
      <c r="B628" s="4" t="s">
        <v>132</v>
      </c>
      <c r="C628" s="2" t="s">
        <v>15</v>
      </c>
      <c r="D628" s="2" t="s">
        <v>11</v>
      </c>
      <c r="E628" s="2" t="s">
        <v>12</v>
      </c>
      <c r="F628" s="2">
        <v>28541.81</v>
      </c>
      <c r="G628" s="2">
        <v>8039.81</v>
      </c>
      <c r="H628" s="2">
        <v>16</v>
      </c>
      <c r="I628" s="2">
        <f t="shared" si="27"/>
        <v>20502</v>
      </c>
      <c r="J628" s="2" t="str">
        <f t="shared" si="28"/>
        <v>January</v>
      </c>
      <c r="K628" s="9">
        <f t="shared" si="29"/>
        <v>0.71831464087246044</v>
      </c>
    </row>
    <row r="629" spans="1:11" x14ac:dyDescent="0.35">
      <c r="A629" s="2" t="s">
        <v>1080</v>
      </c>
      <c r="B629" s="4" t="s">
        <v>1081</v>
      </c>
      <c r="C629" s="2" t="s">
        <v>10</v>
      </c>
      <c r="D629" s="2" t="s">
        <v>11</v>
      </c>
      <c r="E629" s="2" t="s">
        <v>17</v>
      </c>
      <c r="F629" s="2">
        <v>35491.71</v>
      </c>
      <c r="G629" s="2">
        <v>9757.32</v>
      </c>
      <c r="H629" s="2">
        <v>6</v>
      </c>
      <c r="I629" s="2">
        <f t="shared" si="27"/>
        <v>25734.39</v>
      </c>
      <c r="J629" s="2" t="str">
        <f t="shared" si="28"/>
        <v>April</v>
      </c>
      <c r="K629" s="9">
        <f t="shared" si="29"/>
        <v>0.72508171626557305</v>
      </c>
    </row>
    <row r="630" spans="1:11" x14ac:dyDescent="0.35">
      <c r="A630" s="2" t="s">
        <v>1083</v>
      </c>
      <c r="B630" s="4" t="s">
        <v>731</v>
      </c>
      <c r="C630" s="2" t="s">
        <v>27</v>
      </c>
      <c r="D630" s="2" t="s">
        <v>11</v>
      </c>
      <c r="E630" s="2" t="s">
        <v>21</v>
      </c>
      <c r="F630" s="2">
        <v>23143.9</v>
      </c>
      <c r="G630" s="2">
        <v>6503.8</v>
      </c>
      <c r="H630" s="2">
        <v>15</v>
      </c>
      <c r="I630" s="2">
        <f t="shared" si="27"/>
        <v>16640.100000000002</v>
      </c>
      <c r="J630" s="2" t="str">
        <f t="shared" si="28"/>
        <v>February</v>
      </c>
      <c r="K630" s="9">
        <f t="shared" si="29"/>
        <v>0.71898426799286208</v>
      </c>
    </row>
    <row r="631" spans="1:11" x14ac:dyDescent="0.35">
      <c r="A631" s="2" t="s">
        <v>1096</v>
      </c>
      <c r="B631" s="4" t="s">
        <v>46</v>
      </c>
      <c r="C631" s="2" t="s">
        <v>15</v>
      </c>
      <c r="D631" s="2" t="s">
        <v>11</v>
      </c>
      <c r="E631" s="2" t="s">
        <v>17</v>
      </c>
      <c r="F631" s="2">
        <v>31703.95</v>
      </c>
      <c r="G631" s="2">
        <v>9357.0300000000007</v>
      </c>
      <c r="H631" s="2">
        <v>15</v>
      </c>
      <c r="I631" s="2">
        <f t="shared" si="27"/>
        <v>22346.92</v>
      </c>
      <c r="J631" s="2" t="str">
        <f t="shared" si="28"/>
        <v>October</v>
      </c>
      <c r="K631" s="9">
        <f t="shared" si="29"/>
        <v>0.7048623278802798</v>
      </c>
    </row>
    <row r="632" spans="1:11" x14ac:dyDescent="0.35">
      <c r="A632" s="2" t="s">
        <v>1098</v>
      </c>
      <c r="B632" s="4" t="s">
        <v>390</v>
      </c>
      <c r="C632" s="2" t="s">
        <v>15</v>
      </c>
      <c r="D632" s="2" t="s">
        <v>11</v>
      </c>
      <c r="E632" s="2" t="s">
        <v>12</v>
      </c>
      <c r="F632" s="2">
        <v>24843.61</v>
      </c>
      <c r="G632" s="2">
        <v>6676.12</v>
      </c>
      <c r="H632" s="2">
        <v>6</v>
      </c>
      <c r="I632" s="2">
        <f t="shared" si="27"/>
        <v>18167.490000000002</v>
      </c>
      <c r="J632" s="2" t="str">
        <f t="shared" si="28"/>
        <v>January</v>
      </c>
      <c r="K632" s="9">
        <f t="shared" si="29"/>
        <v>0.73127415862670531</v>
      </c>
    </row>
    <row r="633" spans="1:11" x14ac:dyDescent="0.35">
      <c r="A633" s="2" t="s">
        <v>1111</v>
      </c>
      <c r="B633" s="4" t="s">
        <v>84</v>
      </c>
      <c r="C633" s="2" t="s">
        <v>27</v>
      </c>
      <c r="D633" s="2" t="s">
        <v>11</v>
      </c>
      <c r="E633" s="2" t="s">
        <v>21</v>
      </c>
      <c r="F633" s="2">
        <v>4402.3900000000003</v>
      </c>
      <c r="G633" s="2">
        <v>732.23</v>
      </c>
      <c r="H633" s="2">
        <v>1</v>
      </c>
      <c r="I633" s="2">
        <f t="shared" si="27"/>
        <v>3670.1600000000003</v>
      </c>
      <c r="J633" s="2" t="str">
        <f t="shared" si="28"/>
        <v>December</v>
      </c>
      <c r="K633" s="9">
        <f t="shared" si="29"/>
        <v>0.83367443593139179</v>
      </c>
    </row>
    <row r="634" spans="1:11" x14ac:dyDescent="0.35">
      <c r="A634" s="2" t="s">
        <v>1116</v>
      </c>
      <c r="B634" s="4" t="s">
        <v>302</v>
      </c>
      <c r="C634" s="2" t="s">
        <v>31</v>
      </c>
      <c r="D634" s="2" t="s">
        <v>11</v>
      </c>
      <c r="E634" s="2" t="s">
        <v>12</v>
      </c>
      <c r="F634" s="2">
        <v>30938.1</v>
      </c>
      <c r="G634" s="2">
        <v>8090.94</v>
      </c>
      <c r="H634" s="2">
        <v>11</v>
      </c>
      <c r="I634" s="2">
        <f t="shared" si="27"/>
        <v>22847.16</v>
      </c>
      <c r="J634" s="2" t="str">
        <f t="shared" si="28"/>
        <v>October</v>
      </c>
      <c r="K634" s="9">
        <f t="shared" si="29"/>
        <v>0.73847973857476712</v>
      </c>
    </row>
    <row r="635" spans="1:11" x14ac:dyDescent="0.35">
      <c r="A635" s="2" t="s">
        <v>1120</v>
      </c>
      <c r="B635" s="4" t="s">
        <v>78</v>
      </c>
      <c r="C635" s="2" t="s">
        <v>31</v>
      </c>
      <c r="D635" s="2" t="s">
        <v>11</v>
      </c>
      <c r="E635" s="2" t="s">
        <v>21</v>
      </c>
      <c r="F635" s="2">
        <v>45322.46</v>
      </c>
      <c r="G635" s="2">
        <v>10399.879999999999</v>
      </c>
      <c r="H635" s="2">
        <v>19</v>
      </c>
      <c r="I635" s="2">
        <f t="shared" si="27"/>
        <v>34922.58</v>
      </c>
      <c r="J635" s="2" t="str">
        <f t="shared" si="28"/>
        <v>August</v>
      </c>
      <c r="K635" s="9">
        <f t="shared" si="29"/>
        <v>0.77053584470039804</v>
      </c>
    </row>
    <row r="636" spans="1:11" x14ac:dyDescent="0.35">
      <c r="A636" s="2" t="s">
        <v>1123</v>
      </c>
      <c r="B636" s="4" t="s">
        <v>315</v>
      </c>
      <c r="C636" s="2" t="s">
        <v>15</v>
      </c>
      <c r="D636" s="2" t="s">
        <v>11</v>
      </c>
      <c r="E636" s="2" t="s">
        <v>17</v>
      </c>
      <c r="F636" s="2">
        <v>21064.47</v>
      </c>
      <c r="G636" s="2">
        <v>1091.8499999999999</v>
      </c>
      <c r="H636" s="2">
        <v>1</v>
      </c>
      <c r="I636" s="2">
        <f t="shared" si="27"/>
        <v>19972.620000000003</v>
      </c>
      <c r="J636" s="2" t="str">
        <f t="shared" si="28"/>
        <v>May</v>
      </c>
      <c r="K636" s="9">
        <f t="shared" si="29"/>
        <v>0.94816627240087226</v>
      </c>
    </row>
    <row r="637" spans="1:11" x14ac:dyDescent="0.35">
      <c r="A637" s="2" t="s">
        <v>1127</v>
      </c>
      <c r="B637" s="4" t="s">
        <v>377</v>
      </c>
      <c r="C637" s="2" t="s">
        <v>10</v>
      </c>
      <c r="D637" s="2" t="s">
        <v>11</v>
      </c>
      <c r="E637" s="2" t="s">
        <v>12</v>
      </c>
      <c r="F637" s="2">
        <v>1995.08</v>
      </c>
      <c r="G637" s="2">
        <v>316.13</v>
      </c>
      <c r="H637" s="2">
        <v>19</v>
      </c>
      <c r="I637" s="2">
        <f t="shared" si="27"/>
        <v>1678.9499999999998</v>
      </c>
      <c r="J637" s="2" t="str">
        <f t="shared" si="28"/>
        <v>November</v>
      </c>
      <c r="K637" s="9">
        <f t="shared" si="29"/>
        <v>0.84154520119493947</v>
      </c>
    </row>
    <row r="638" spans="1:11" x14ac:dyDescent="0.35">
      <c r="A638" s="2" t="s">
        <v>1132</v>
      </c>
      <c r="B638" s="4" t="s">
        <v>479</v>
      </c>
      <c r="C638" s="2" t="s">
        <v>10</v>
      </c>
      <c r="D638" s="2" t="s">
        <v>11</v>
      </c>
      <c r="E638" s="2" t="s">
        <v>12</v>
      </c>
      <c r="F638" s="2">
        <v>15355.26</v>
      </c>
      <c r="G638" s="2">
        <v>4231.32</v>
      </c>
      <c r="H638" s="2">
        <v>16</v>
      </c>
      <c r="I638" s="2">
        <f t="shared" si="27"/>
        <v>11123.94</v>
      </c>
      <c r="J638" s="2" t="str">
        <f t="shared" si="28"/>
        <v>December</v>
      </c>
      <c r="K638" s="9">
        <f t="shared" si="29"/>
        <v>0.72443840091278167</v>
      </c>
    </row>
    <row r="639" spans="1:11" x14ac:dyDescent="0.35">
      <c r="A639" s="2" t="s">
        <v>1141</v>
      </c>
      <c r="B639" s="4" t="s">
        <v>520</v>
      </c>
      <c r="C639" s="2" t="s">
        <v>15</v>
      </c>
      <c r="D639" s="2" t="s">
        <v>11</v>
      </c>
      <c r="E639" s="2" t="s">
        <v>17</v>
      </c>
      <c r="F639" s="2">
        <v>13987.73</v>
      </c>
      <c r="G639" s="2">
        <v>3946.13</v>
      </c>
      <c r="H639" s="2">
        <v>20</v>
      </c>
      <c r="I639" s="2">
        <f t="shared" si="27"/>
        <v>10041.599999999999</v>
      </c>
      <c r="J639" s="2" t="str">
        <f t="shared" si="28"/>
        <v>August</v>
      </c>
      <c r="K639" s="9">
        <f t="shared" si="29"/>
        <v>0.71788631893809784</v>
      </c>
    </row>
    <row r="640" spans="1:11" x14ac:dyDescent="0.35">
      <c r="A640" s="2" t="s">
        <v>1142</v>
      </c>
      <c r="B640" s="4" t="s">
        <v>262</v>
      </c>
      <c r="C640" s="2" t="s">
        <v>27</v>
      </c>
      <c r="D640" s="2" t="s">
        <v>11</v>
      </c>
      <c r="E640" s="2" t="s">
        <v>12</v>
      </c>
      <c r="F640" s="2">
        <v>25251.02</v>
      </c>
      <c r="G640" s="2">
        <v>1285.49</v>
      </c>
      <c r="H640" s="2">
        <v>16</v>
      </c>
      <c r="I640" s="2">
        <f t="shared" si="27"/>
        <v>23965.53</v>
      </c>
      <c r="J640" s="2" t="str">
        <f t="shared" si="28"/>
        <v>June</v>
      </c>
      <c r="K640" s="9">
        <f t="shared" si="29"/>
        <v>0.94909156144979478</v>
      </c>
    </row>
    <row r="641" spans="1:11" x14ac:dyDescent="0.35">
      <c r="A641" s="2" t="s">
        <v>1147</v>
      </c>
      <c r="B641" s="4" t="s">
        <v>1148</v>
      </c>
      <c r="C641" s="2" t="s">
        <v>10</v>
      </c>
      <c r="D641" s="2" t="s">
        <v>11</v>
      </c>
      <c r="E641" s="2" t="s">
        <v>17</v>
      </c>
      <c r="F641" s="2">
        <v>39465.47</v>
      </c>
      <c r="G641" s="2">
        <v>6076.11</v>
      </c>
      <c r="H641" s="2">
        <v>10</v>
      </c>
      <c r="I641" s="2">
        <f t="shared" si="27"/>
        <v>33389.360000000001</v>
      </c>
      <c r="J641" s="2" t="str">
        <f t="shared" si="28"/>
        <v>August</v>
      </c>
      <c r="K641" s="9">
        <f t="shared" si="29"/>
        <v>0.84603984191750403</v>
      </c>
    </row>
    <row r="642" spans="1:11" x14ac:dyDescent="0.35">
      <c r="A642" s="2" t="s">
        <v>1175</v>
      </c>
      <c r="B642" s="4" t="s">
        <v>362</v>
      </c>
      <c r="C642" s="2" t="s">
        <v>27</v>
      </c>
      <c r="D642" s="2" t="s">
        <v>11</v>
      </c>
      <c r="E642" s="2" t="s">
        <v>17</v>
      </c>
      <c r="F642" s="2">
        <v>26585.08</v>
      </c>
      <c r="G642" s="2">
        <v>3009.53</v>
      </c>
      <c r="H642" s="2">
        <v>10</v>
      </c>
      <c r="I642" s="2">
        <f t="shared" ref="I642:I705" si="30">(F642-G642)</f>
        <v>23575.550000000003</v>
      </c>
      <c r="J642" s="2" t="str">
        <f t="shared" ref="J642:J705" si="31">TEXT(B642,"mmmm")</f>
        <v>December</v>
      </c>
      <c r="K642" s="9">
        <f t="shared" ref="K642:K705" si="32">(F642-G642)/F642</f>
        <v>0.88679627821319329</v>
      </c>
    </row>
    <row r="643" spans="1:11" x14ac:dyDescent="0.35">
      <c r="A643" s="2" t="s">
        <v>1179</v>
      </c>
      <c r="B643" s="4" t="s">
        <v>95</v>
      </c>
      <c r="C643" s="2" t="s">
        <v>15</v>
      </c>
      <c r="D643" s="2" t="s">
        <v>11</v>
      </c>
      <c r="E643" s="2" t="s">
        <v>12</v>
      </c>
      <c r="F643" s="2">
        <v>20979.97</v>
      </c>
      <c r="G643" s="2">
        <v>6278.5</v>
      </c>
      <c r="H643" s="2">
        <v>10</v>
      </c>
      <c r="I643" s="2">
        <f t="shared" si="30"/>
        <v>14701.470000000001</v>
      </c>
      <c r="J643" s="2" t="str">
        <f t="shared" si="31"/>
        <v>February</v>
      </c>
      <c r="K643" s="9">
        <f t="shared" si="32"/>
        <v>0.70073837093189362</v>
      </c>
    </row>
    <row r="644" spans="1:11" x14ac:dyDescent="0.35">
      <c r="A644" s="2" t="s">
        <v>1183</v>
      </c>
      <c r="B644" s="4" t="s">
        <v>89</v>
      </c>
      <c r="C644" s="2" t="s">
        <v>15</v>
      </c>
      <c r="D644" s="2" t="s">
        <v>11</v>
      </c>
      <c r="E644" s="2" t="s">
        <v>21</v>
      </c>
      <c r="F644" s="2">
        <v>20616.53</v>
      </c>
      <c r="G644" s="2">
        <v>1308.1400000000001</v>
      </c>
      <c r="H644" s="2">
        <v>3</v>
      </c>
      <c r="I644" s="2">
        <f t="shared" si="30"/>
        <v>19308.39</v>
      </c>
      <c r="J644" s="2" t="str">
        <f t="shared" si="31"/>
        <v>April</v>
      </c>
      <c r="K644" s="9">
        <f t="shared" si="32"/>
        <v>0.93654897308130902</v>
      </c>
    </row>
    <row r="645" spans="1:11" x14ac:dyDescent="0.35">
      <c r="A645" s="2" t="s">
        <v>1198</v>
      </c>
      <c r="B645" s="4" t="s">
        <v>1199</v>
      </c>
      <c r="C645" s="2" t="s">
        <v>27</v>
      </c>
      <c r="D645" s="2" t="s">
        <v>11</v>
      </c>
      <c r="E645" s="2" t="s">
        <v>12</v>
      </c>
      <c r="F645" s="2">
        <v>43700.4</v>
      </c>
      <c r="G645" s="2">
        <v>9824.2199999999993</v>
      </c>
      <c r="H645" s="2">
        <v>5</v>
      </c>
      <c r="I645" s="2">
        <f t="shared" si="30"/>
        <v>33876.18</v>
      </c>
      <c r="J645" s="2" t="str">
        <f t="shared" si="31"/>
        <v>March</v>
      </c>
      <c r="K645" s="9">
        <f t="shared" si="32"/>
        <v>0.77519153142762998</v>
      </c>
    </row>
    <row r="646" spans="1:11" x14ac:dyDescent="0.35">
      <c r="A646" s="2" t="s">
        <v>1201</v>
      </c>
      <c r="B646" s="4" t="s">
        <v>1032</v>
      </c>
      <c r="C646" s="2" t="s">
        <v>15</v>
      </c>
      <c r="D646" s="2" t="s">
        <v>11</v>
      </c>
      <c r="E646" s="2" t="s">
        <v>12</v>
      </c>
      <c r="F646" s="2">
        <v>21230.63</v>
      </c>
      <c r="G646" s="2">
        <v>6349.7</v>
      </c>
      <c r="H646" s="2">
        <v>12</v>
      </c>
      <c r="I646" s="2">
        <f t="shared" si="30"/>
        <v>14880.93</v>
      </c>
      <c r="J646" s="2" t="str">
        <f t="shared" si="31"/>
        <v>July</v>
      </c>
      <c r="K646" s="9">
        <f t="shared" si="32"/>
        <v>0.70091796616492297</v>
      </c>
    </row>
    <row r="647" spans="1:11" x14ac:dyDescent="0.35">
      <c r="A647" s="2" t="s">
        <v>1206</v>
      </c>
      <c r="B647" s="4" t="s">
        <v>815</v>
      </c>
      <c r="C647" s="2" t="s">
        <v>31</v>
      </c>
      <c r="D647" s="2" t="s">
        <v>11</v>
      </c>
      <c r="E647" s="2" t="s">
        <v>17</v>
      </c>
      <c r="F647" s="2">
        <v>37448.69</v>
      </c>
      <c r="G647" s="2">
        <v>9703.6299999999992</v>
      </c>
      <c r="H647" s="2">
        <v>3</v>
      </c>
      <c r="I647" s="2">
        <f t="shared" si="30"/>
        <v>27745.060000000005</v>
      </c>
      <c r="J647" s="2" t="str">
        <f t="shared" si="31"/>
        <v>August</v>
      </c>
      <c r="K647" s="9">
        <f t="shared" si="32"/>
        <v>0.74088199079861017</v>
      </c>
    </row>
    <row r="648" spans="1:11" x14ac:dyDescent="0.35">
      <c r="A648" s="2" t="s">
        <v>1215</v>
      </c>
      <c r="B648" s="4" t="s">
        <v>1216</v>
      </c>
      <c r="C648" s="2" t="s">
        <v>15</v>
      </c>
      <c r="D648" s="2" t="s">
        <v>11</v>
      </c>
      <c r="E648" s="2" t="s">
        <v>12</v>
      </c>
      <c r="F648" s="2">
        <v>12809.89</v>
      </c>
      <c r="G648" s="2">
        <v>2334.2800000000002</v>
      </c>
      <c r="H648" s="2">
        <v>10</v>
      </c>
      <c r="I648" s="2">
        <f t="shared" si="30"/>
        <v>10475.609999999999</v>
      </c>
      <c r="J648" s="2" t="str">
        <f t="shared" si="31"/>
        <v>February</v>
      </c>
      <c r="K648" s="9">
        <f t="shared" si="32"/>
        <v>0.81777517215214179</v>
      </c>
    </row>
    <row r="649" spans="1:11" x14ac:dyDescent="0.35">
      <c r="A649" s="2" t="s">
        <v>1218</v>
      </c>
      <c r="B649" s="4" t="s">
        <v>260</v>
      </c>
      <c r="C649" s="2" t="s">
        <v>27</v>
      </c>
      <c r="D649" s="2" t="s">
        <v>11</v>
      </c>
      <c r="E649" s="2" t="s">
        <v>21</v>
      </c>
      <c r="F649" s="2">
        <v>38730.78</v>
      </c>
      <c r="G649" s="2">
        <v>4283.04</v>
      </c>
      <c r="H649" s="2">
        <v>5</v>
      </c>
      <c r="I649" s="2">
        <f t="shared" si="30"/>
        <v>34447.74</v>
      </c>
      <c r="J649" s="2" t="str">
        <f t="shared" si="31"/>
        <v>December</v>
      </c>
      <c r="K649" s="9">
        <f t="shared" si="32"/>
        <v>0.88941508536621261</v>
      </c>
    </row>
    <row r="650" spans="1:11" x14ac:dyDescent="0.35">
      <c r="A650" s="2" t="s">
        <v>1240</v>
      </c>
      <c r="B650" s="4" t="s">
        <v>368</v>
      </c>
      <c r="C650" s="2" t="s">
        <v>15</v>
      </c>
      <c r="D650" s="2" t="s">
        <v>11</v>
      </c>
      <c r="E650" s="2" t="s">
        <v>21</v>
      </c>
      <c r="F650" s="2">
        <v>34495.33</v>
      </c>
      <c r="G650" s="2">
        <v>3646.93</v>
      </c>
      <c r="H650" s="2">
        <v>15</v>
      </c>
      <c r="I650" s="2">
        <f t="shared" si="30"/>
        <v>30848.400000000001</v>
      </c>
      <c r="J650" s="2" t="str">
        <f t="shared" si="31"/>
        <v>June</v>
      </c>
      <c r="K650" s="9">
        <f t="shared" si="32"/>
        <v>0.89427757322512935</v>
      </c>
    </row>
    <row r="651" spans="1:11" x14ac:dyDescent="0.35">
      <c r="A651" s="2" t="s">
        <v>1246</v>
      </c>
      <c r="B651" s="4" t="s">
        <v>452</v>
      </c>
      <c r="C651" s="2" t="s">
        <v>10</v>
      </c>
      <c r="D651" s="2" t="s">
        <v>11</v>
      </c>
      <c r="E651" s="2" t="s">
        <v>12</v>
      </c>
      <c r="F651" s="2">
        <v>32579.99</v>
      </c>
      <c r="G651" s="2">
        <v>1988.83</v>
      </c>
      <c r="H651" s="2">
        <v>11</v>
      </c>
      <c r="I651" s="2">
        <f t="shared" si="30"/>
        <v>30591.160000000003</v>
      </c>
      <c r="J651" s="2" t="str">
        <f t="shared" si="31"/>
        <v>December</v>
      </c>
      <c r="K651" s="9">
        <f t="shared" si="32"/>
        <v>0.93895547543139213</v>
      </c>
    </row>
    <row r="652" spans="1:11" x14ac:dyDescent="0.35">
      <c r="A652" s="2" t="s">
        <v>1252</v>
      </c>
      <c r="B652" s="4" t="s">
        <v>97</v>
      </c>
      <c r="C652" s="2" t="s">
        <v>27</v>
      </c>
      <c r="D652" s="2" t="s">
        <v>11</v>
      </c>
      <c r="E652" s="2" t="s">
        <v>17</v>
      </c>
      <c r="F652" s="2">
        <v>27723.15</v>
      </c>
      <c r="G652" s="2">
        <v>6054.72</v>
      </c>
      <c r="H652" s="2">
        <v>20</v>
      </c>
      <c r="I652" s="2">
        <f t="shared" si="30"/>
        <v>21668.43</v>
      </c>
      <c r="J652" s="2" t="str">
        <f t="shared" si="31"/>
        <v>October</v>
      </c>
      <c r="K652" s="9">
        <f t="shared" si="32"/>
        <v>0.78160057569215613</v>
      </c>
    </row>
    <row r="653" spans="1:11" x14ac:dyDescent="0.35">
      <c r="A653" s="2" t="s">
        <v>1265</v>
      </c>
      <c r="B653" s="4" t="s">
        <v>967</v>
      </c>
      <c r="C653" s="2" t="s">
        <v>27</v>
      </c>
      <c r="D653" s="2" t="s">
        <v>11</v>
      </c>
      <c r="E653" s="2" t="s">
        <v>21</v>
      </c>
      <c r="F653" s="2">
        <v>3034.97</v>
      </c>
      <c r="G653" s="2">
        <v>253.84</v>
      </c>
      <c r="H653" s="2">
        <v>19</v>
      </c>
      <c r="I653" s="2">
        <f t="shared" si="30"/>
        <v>2781.1299999999997</v>
      </c>
      <c r="J653" s="2" t="str">
        <f t="shared" si="31"/>
        <v>February</v>
      </c>
      <c r="K653" s="9">
        <f t="shared" si="32"/>
        <v>0.91636161148215622</v>
      </c>
    </row>
    <row r="654" spans="1:11" x14ac:dyDescent="0.35">
      <c r="A654" s="2" t="s">
        <v>1266</v>
      </c>
      <c r="B654" s="4" t="s">
        <v>950</v>
      </c>
      <c r="C654" s="2" t="s">
        <v>31</v>
      </c>
      <c r="D654" s="2" t="s">
        <v>11</v>
      </c>
      <c r="E654" s="2" t="s">
        <v>17</v>
      </c>
      <c r="F654" s="2">
        <v>7427.76</v>
      </c>
      <c r="G654" s="2">
        <v>2194.3000000000002</v>
      </c>
      <c r="H654" s="2">
        <v>4</v>
      </c>
      <c r="I654" s="2">
        <f t="shared" si="30"/>
        <v>5233.46</v>
      </c>
      <c r="J654" s="2" t="str">
        <f t="shared" si="31"/>
        <v>August</v>
      </c>
      <c r="K654" s="9">
        <f t="shared" si="32"/>
        <v>0.7045811927148965</v>
      </c>
    </row>
    <row r="655" spans="1:11" x14ac:dyDescent="0.35">
      <c r="A655" s="2" t="s">
        <v>1273</v>
      </c>
      <c r="B655" s="4" t="s">
        <v>508</v>
      </c>
      <c r="C655" s="2" t="s">
        <v>10</v>
      </c>
      <c r="D655" s="2" t="s">
        <v>11</v>
      </c>
      <c r="E655" s="2" t="s">
        <v>12</v>
      </c>
      <c r="F655" s="2">
        <v>23428.17</v>
      </c>
      <c r="G655" s="2">
        <v>4967.09</v>
      </c>
      <c r="H655" s="2">
        <v>4</v>
      </c>
      <c r="I655" s="2">
        <f t="shared" si="30"/>
        <v>18461.079999999998</v>
      </c>
      <c r="J655" s="2" t="str">
        <f t="shared" si="31"/>
        <v>November</v>
      </c>
      <c r="K655" s="9">
        <f t="shared" si="32"/>
        <v>0.78798642830404597</v>
      </c>
    </row>
    <row r="656" spans="1:11" x14ac:dyDescent="0.35">
      <c r="A656" s="2" t="s">
        <v>1276</v>
      </c>
      <c r="B656" s="4" t="s">
        <v>1148</v>
      </c>
      <c r="C656" s="2" t="s">
        <v>31</v>
      </c>
      <c r="D656" s="2" t="s">
        <v>11</v>
      </c>
      <c r="E656" s="2" t="s">
        <v>12</v>
      </c>
      <c r="F656" s="2">
        <v>41531.46</v>
      </c>
      <c r="G656" s="2">
        <v>2549.59</v>
      </c>
      <c r="H656" s="2">
        <v>13</v>
      </c>
      <c r="I656" s="2">
        <f t="shared" si="30"/>
        <v>38981.869999999995</v>
      </c>
      <c r="J656" s="2" t="str">
        <f t="shared" si="31"/>
        <v>August</v>
      </c>
      <c r="K656" s="9">
        <f t="shared" si="32"/>
        <v>0.93861063396278377</v>
      </c>
    </row>
    <row r="657" spans="1:11" x14ac:dyDescent="0.35">
      <c r="A657" s="2" t="s">
        <v>1281</v>
      </c>
      <c r="B657" s="4" t="s">
        <v>146</v>
      </c>
      <c r="C657" s="2" t="s">
        <v>31</v>
      </c>
      <c r="D657" s="2" t="s">
        <v>11</v>
      </c>
      <c r="E657" s="2" t="s">
        <v>12</v>
      </c>
      <c r="F657" s="2">
        <v>40864.19</v>
      </c>
      <c r="G657" s="2">
        <v>2842.66</v>
      </c>
      <c r="H657" s="2">
        <v>16</v>
      </c>
      <c r="I657" s="2">
        <f t="shared" si="30"/>
        <v>38021.53</v>
      </c>
      <c r="J657" s="2" t="str">
        <f t="shared" si="31"/>
        <v>August</v>
      </c>
      <c r="K657" s="9">
        <f t="shared" si="32"/>
        <v>0.93043640409855177</v>
      </c>
    </row>
    <row r="658" spans="1:11" x14ac:dyDescent="0.35">
      <c r="A658" s="2" t="s">
        <v>1285</v>
      </c>
      <c r="B658" s="4" t="s">
        <v>138</v>
      </c>
      <c r="C658" s="2" t="s">
        <v>27</v>
      </c>
      <c r="D658" s="2" t="s">
        <v>11</v>
      </c>
      <c r="E658" s="2" t="s">
        <v>17</v>
      </c>
      <c r="F658" s="2">
        <v>24126.25</v>
      </c>
      <c r="G658" s="2">
        <v>4229.3100000000004</v>
      </c>
      <c r="H658" s="2">
        <v>17</v>
      </c>
      <c r="I658" s="2">
        <f t="shared" si="30"/>
        <v>19896.939999999999</v>
      </c>
      <c r="J658" s="2" t="str">
        <f t="shared" si="31"/>
        <v>September</v>
      </c>
      <c r="K658" s="9">
        <f t="shared" si="32"/>
        <v>0.82470089632661514</v>
      </c>
    </row>
    <row r="659" spans="1:11" x14ac:dyDescent="0.35">
      <c r="A659" s="2" t="s">
        <v>1288</v>
      </c>
      <c r="B659" s="4" t="s">
        <v>215</v>
      </c>
      <c r="C659" s="2" t="s">
        <v>27</v>
      </c>
      <c r="D659" s="2" t="s">
        <v>11</v>
      </c>
      <c r="E659" s="2" t="s">
        <v>17</v>
      </c>
      <c r="F659" s="2">
        <v>23330.71</v>
      </c>
      <c r="G659" s="2">
        <v>6449.24</v>
      </c>
      <c r="H659" s="2">
        <v>8</v>
      </c>
      <c r="I659" s="2">
        <f t="shared" si="30"/>
        <v>16881.47</v>
      </c>
      <c r="J659" s="2" t="str">
        <f t="shared" si="31"/>
        <v>October</v>
      </c>
      <c r="K659" s="9">
        <f t="shared" si="32"/>
        <v>0.72357292169848242</v>
      </c>
    </row>
    <row r="660" spans="1:11" x14ac:dyDescent="0.35">
      <c r="A660" s="2" t="s">
        <v>1291</v>
      </c>
      <c r="B660" s="4" t="s">
        <v>275</v>
      </c>
      <c r="C660" s="2" t="s">
        <v>31</v>
      </c>
      <c r="D660" s="2" t="s">
        <v>11</v>
      </c>
      <c r="E660" s="2" t="s">
        <v>21</v>
      </c>
      <c r="F660" s="2">
        <v>35586.74</v>
      </c>
      <c r="G660" s="2">
        <v>2586.37</v>
      </c>
      <c r="H660" s="2">
        <v>18</v>
      </c>
      <c r="I660" s="2">
        <f t="shared" si="30"/>
        <v>33000.369999999995</v>
      </c>
      <c r="J660" s="2" t="str">
        <f t="shared" si="31"/>
        <v>August</v>
      </c>
      <c r="K660" s="9">
        <f t="shared" si="32"/>
        <v>0.92732208682222639</v>
      </c>
    </row>
    <row r="661" spans="1:11" x14ac:dyDescent="0.35">
      <c r="A661" s="2" t="s">
        <v>1293</v>
      </c>
      <c r="B661" s="4" t="s">
        <v>1294</v>
      </c>
      <c r="C661" s="2" t="s">
        <v>15</v>
      </c>
      <c r="D661" s="2" t="s">
        <v>11</v>
      </c>
      <c r="E661" s="2" t="s">
        <v>17</v>
      </c>
      <c r="F661" s="2">
        <v>26579.87</v>
      </c>
      <c r="G661" s="2">
        <v>2822.86</v>
      </c>
      <c r="H661" s="2">
        <v>4</v>
      </c>
      <c r="I661" s="2">
        <f t="shared" si="30"/>
        <v>23757.01</v>
      </c>
      <c r="J661" s="2" t="str">
        <f t="shared" si="31"/>
        <v>November</v>
      </c>
      <c r="K661" s="9">
        <f t="shared" si="32"/>
        <v>0.89379707274715792</v>
      </c>
    </row>
    <row r="662" spans="1:11" x14ac:dyDescent="0.35">
      <c r="A662" s="2" t="s">
        <v>1313</v>
      </c>
      <c r="B662" s="4" t="s">
        <v>745</v>
      </c>
      <c r="C662" s="2" t="s">
        <v>15</v>
      </c>
      <c r="D662" s="2" t="s">
        <v>11</v>
      </c>
      <c r="E662" s="2" t="s">
        <v>17</v>
      </c>
      <c r="F662" s="2">
        <v>38762.54</v>
      </c>
      <c r="G662" s="2">
        <v>7988.93</v>
      </c>
      <c r="H662" s="2">
        <v>19</v>
      </c>
      <c r="I662" s="2">
        <f t="shared" si="30"/>
        <v>30773.61</v>
      </c>
      <c r="J662" s="2" t="str">
        <f t="shared" si="31"/>
        <v>January</v>
      </c>
      <c r="K662" s="9">
        <f t="shared" si="32"/>
        <v>0.79390076088925032</v>
      </c>
    </row>
    <row r="663" spans="1:11" x14ac:dyDescent="0.35">
      <c r="A663" s="2" t="s">
        <v>1315</v>
      </c>
      <c r="B663" s="4" t="s">
        <v>148</v>
      </c>
      <c r="C663" s="2" t="s">
        <v>10</v>
      </c>
      <c r="D663" s="2" t="s">
        <v>11</v>
      </c>
      <c r="E663" s="2" t="s">
        <v>12</v>
      </c>
      <c r="F663" s="2">
        <v>48953.54</v>
      </c>
      <c r="G663" s="2">
        <v>3367.03</v>
      </c>
      <c r="H663" s="2">
        <v>17</v>
      </c>
      <c r="I663" s="2">
        <f t="shared" si="30"/>
        <v>45586.51</v>
      </c>
      <c r="J663" s="2" t="str">
        <f t="shared" si="31"/>
        <v>March</v>
      </c>
      <c r="K663" s="9">
        <f t="shared" si="32"/>
        <v>0.93121988726453697</v>
      </c>
    </row>
    <row r="664" spans="1:11" x14ac:dyDescent="0.35">
      <c r="A664" s="2" t="s">
        <v>1325</v>
      </c>
      <c r="B664" s="4" t="s">
        <v>253</v>
      </c>
      <c r="C664" s="2" t="s">
        <v>27</v>
      </c>
      <c r="D664" s="2" t="s">
        <v>11</v>
      </c>
      <c r="E664" s="2" t="s">
        <v>21</v>
      </c>
      <c r="F664" s="2">
        <v>939.55</v>
      </c>
      <c r="G664" s="2">
        <v>159.38999999999999</v>
      </c>
      <c r="H664" s="2">
        <v>16</v>
      </c>
      <c r="I664" s="2">
        <f t="shared" si="30"/>
        <v>780.16</v>
      </c>
      <c r="J664" s="2" t="str">
        <f t="shared" si="31"/>
        <v>June</v>
      </c>
      <c r="K664" s="9">
        <f t="shared" si="32"/>
        <v>0.83035495716034269</v>
      </c>
    </row>
    <row r="665" spans="1:11" x14ac:dyDescent="0.35">
      <c r="A665" s="2" t="s">
        <v>1327</v>
      </c>
      <c r="B665" s="4" t="s">
        <v>166</v>
      </c>
      <c r="C665" s="2" t="s">
        <v>27</v>
      </c>
      <c r="D665" s="2" t="s">
        <v>11</v>
      </c>
      <c r="E665" s="2" t="s">
        <v>12</v>
      </c>
      <c r="F665" s="2">
        <v>28107.29</v>
      </c>
      <c r="G665" s="2">
        <v>5591.49</v>
      </c>
      <c r="H665" s="2">
        <v>2</v>
      </c>
      <c r="I665" s="2">
        <f t="shared" si="30"/>
        <v>22515.800000000003</v>
      </c>
      <c r="J665" s="2" t="str">
        <f t="shared" si="31"/>
        <v>August</v>
      </c>
      <c r="K665" s="9">
        <f t="shared" si="32"/>
        <v>0.80106620026334818</v>
      </c>
    </row>
    <row r="666" spans="1:11" x14ac:dyDescent="0.35">
      <c r="A666" s="2" t="s">
        <v>1333</v>
      </c>
      <c r="B666" s="4" t="s">
        <v>136</v>
      </c>
      <c r="C666" s="2" t="s">
        <v>31</v>
      </c>
      <c r="D666" s="2" t="s">
        <v>11</v>
      </c>
      <c r="E666" s="2" t="s">
        <v>17</v>
      </c>
      <c r="F666" s="2">
        <v>9313.89</v>
      </c>
      <c r="G666" s="2">
        <v>1489.7</v>
      </c>
      <c r="H666" s="2">
        <v>17</v>
      </c>
      <c r="I666" s="2">
        <f t="shared" si="30"/>
        <v>7824.19</v>
      </c>
      <c r="J666" s="2" t="str">
        <f t="shared" si="31"/>
        <v>December</v>
      </c>
      <c r="K666" s="9">
        <f t="shared" si="32"/>
        <v>0.84005608827246192</v>
      </c>
    </row>
    <row r="667" spans="1:11" x14ac:dyDescent="0.35">
      <c r="A667" s="2" t="s">
        <v>1335</v>
      </c>
      <c r="B667" s="4" t="s">
        <v>523</v>
      </c>
      <c r="C667" s="2" t="s">
        <v>10</v>
      </c>
      <c r="D667" s="2" t="s">
        <v>11</v>
      </c>
      <c r="E667" s="2" t="s">
        <v>21</v>
      </c>
      <c r="F667" s="2">
        <v>3538.64</v>
      </c>
      <c r="G667" s="2">
        <v>484.39</v>
      </c>
      <c r="H667" s="2">
        <v>2</v>
      </c>
      <c r="I667" s="2">
        <f t="shared" si="30"/>
        <v>3054.25</v>
      </c>
      <c r="J667" s="2" t="str">
        <f t="shared" si="31"/>
        <v>January</v>
      </c>
      <c r="K667" s="9">
        <f t="shared" si="32"/>
        <v>0.86311407772477566</v>
      </c>
    </row>
    <row r="668" spans="1:11" x14ac:dyDescent="0.35">
      <c r="A668" s="2" t="s">
        <v>1344</v>
      </c>
      <c r="B668" s="4" t="s">
        <v>783</v>
      </c>
      <c r="C668" s="2" t="s">
        <v>27</v>
      </c>
      <c r="D668" s="2" t="s">
        <v>11</v>
      </c>
      <c r="E668" s="2" t="s">
        <v>21</v>
      </c>
      <c r="F668" s="2">
        <v>25239.5</v>
      </c>
      <c r="G668" s="2">
        <v>3323.81</v>
      </c>
      <c r="H668" s="2">
        <v>13</v>
      </c>
      <c r="I668" s="2">
        <f t="shared" si="30"/>
        <v>21915.69</v>
      </c>
      <c r="J668" s="2" t="str">
        <f t="shared" si="31"/>
        <v>November</v>
      </c>
      <c r="K668" s="9">
        <f t="shared" si="32"/>
        <v>0.86830919788426864</v>
      </c>
    </row>
    <row r="669" spans="1:11" x14ac:dyDescent="0.35">
      <c r="A669" s="2" t="s">
        <v>1345</v>
      </c>
      <c r="B669" s="4" t="s">
        <v>176</v>
      </c>
      <c r="C669" s="2" t="s">
        <v>15</v>
      </c>
      <c r="D669" s="2" t="s">
        <v>11</v>
      </c>
      <c r="E669" s="2" t="s">
        <v>21</v>
      </c>
      <c r="F669" s="2">
        <v>15990.89</v>
      </c>
      <c r="G669" s="2">
        <v>3376.01</v>
      </c>
      <c r="H669" s="2">
        <v>8</v>
      </c>
      <c r="I669" s="2">
        <f t="shared" si="30"/>
        <v>12614.88</v>
      </c>
      <c r="J669" s="2" t="str">
        <f t="shared" si="31"/>
        <v>November</v>
      </c>
      <c r="K669" s="9">
        <f t="shared" si="32"/>
        <v>0.78887916807632341</v>
      </c>
    </row>
    <row r="670" spans="1:11" x14ac:dyDescent="0.35">
      <c r="A670" s="2" t="s">
        <v>1346</v>
      </c>
      <c r="B670" s="4" t="s">
        <v>869</v>
      </c>
      <c r="C670" s="2" t="s">
        <v>27</v>
      </c>
      <c r="D670" s="2" t="s">
        <v>11</v>
      </c>
      <c r="E670" s="2" t="s">
        <v>12</v>
      </c>
      <c r="F670" s="2">
        <v>35037.57</v>
      </c>
      <c r="G670" s="2">
        <v>7174.65</v>
      </c>
      <c r="H670" s="2">
        <v>2</v>
      </c>
      <c r="I670" s="2">
        <f t="shared" si="30"/>
        <v>27862.92</v>
      </c>
      <c r="J670" s="2" t="str">
        <f t="shared" si="31"/>
        <v>March</v>
      </c>
      <c r="K670" s="9">
        <f t="shared" si="32"/>
        <v>0.79522980617662697</v>
      </c>
    </row>
    <row r="671" spans="1:11" x14ac:dyDescent="0.35">
      <c r="A671" s="2" t="s">
        <v>1353</v>
      </c>
      <c r="B671" s="4" t="s">
        <v>645</v>
      </c>
      <c r="C671" s="2" t="s">
        <v>15</v>
      </c>
      <c r="D671" s="2" t="s">
        <v>11</v>
      </c>
      <c r="E671" s="2" t="s">
        <v>21</v>
      </c>
      <c r="F671" s="2">
        <v>32199.53</v>
      </c>
      <c r="G671" s="2">
        <v>1897.44</v>
      </c>
      <c r="H671" s="2">
        <v>4</v>
      </c>
      <c r="I671" s="2">
        <f t="shared" si="30"/>
        <v>30302.09</v>
      </c>
      <c r="J671" s="2" t="str">
        <f t="shared" si="31"/>
        <v>July</v>
      </c>
      <c r="K671" s="9">
        <f t="shared" si="32"/>
        <v>0.94107243180257605</v>
      </c>
    </row>
    <row r="672" spans="1:11" x14ac:dyDescent="0.35">
      <c r="A672" s="2" t="s">
        <v>1356</v>
      </c>
      <c r="B672" s="4" t="s">
        <v>44</v>
      </c>
      <c r="C672" s="2" t="s">
        <v>31</v>
      </c>
      <c r="D672" s="2" t="s">
        <v>11</v>
      </c>
      <c r="E672" s="2" t="s">
        <v>21</v>
      </c>
      <c r="F672" s="2">
        <v>34325.75</v>
      </c>
      <c r="G672" s="2">
        <v>8535.57</v>
      </c>
      <c r="H672" s="2">
        <v>11</v>
      </c>
      <c r="I672" s="2">
        <f t="shared" si="30"/>
        <v>25790.18</v>
      </c>
      <c r="J672" s="2" t="str">
        <f t="shared" si="31"/>
        <v>March</v>
      </c>
      <c r="K672" s="9">
        <f t="shared" si="32"/>
        <v>0.75133624174271507</v>
      </c>
    </row>
    <row r="673" spans="1:11" x14ac:dyDescent="0.35">
      <c r="A673" s="2" t="s">
        <v>22</v>
      </c>
      <c r="B673" s="4" t="s">
        <v>23</v>
      </c>
      <c r="C673" s="2" t="s">
        <v>10</v>
      </c>
      <c r="D673" s="2" t="s">
        <v>24</v>
      </c>
      <c r="E673" s="2" t="s">
        <v>12</v>
      </c>
      <c r="F673" s="2">
        <v>39743.42</v>
      </c>
      <c r="G673" s="2">
        <v>7175.26</v>
      </c>
      <c r="H673" s="2">
        <v>3</v>
      </c>
      <c r="I673" s="2">
        <f t="shared" si="30"/>
        <v>32568.159999999996</v>
      </c>
      <c r="J673" s="2" t="str">
        <f t="shared" si="31"/>
        <v>July</v>
      </c>
      <c r="K673" s="9">
        <f t="shared" si="32"/>
        <v>0.81946042892131576</v>
      </c>
    </row>
    <row r="674" spans="1:11" x14ac:dyDescent="0.35">
      <c r="A674" s="2" t="s">
        <v>57</v>
      </c>
      <c r="B674" s="4" t="s">
        <v>58</v>
      </c>
      <c r="C674" s="2" t="s">
        <v>27</v>
      </c>
      <c r="D674" s="2" t="s">
        <v>24</v>
      </c>
      <c r="E674" s="2" t="s">
        <v>12</v>
      </c>
      <c r="F674" s="2">
        <v>22704.22</v>
      </c>
      <c r="G674" s="2">
        <v>5162.6099999999997</v>
      </c>
      <c r="H674" s="2">
        <v>8</v>
      </c>
      <c r="I674" s="2">
        <f t="shared" si="30"/>
        <v>17541.61</v>
      </c>
      <c r="J674" s="2" t="str">
        <f t="shared" si="31"/>
        <v>March</v>
      </c>
      <c r="K674" s="9">
        <f t="shared" si="32"/>
        <v>0.77261451835826112</v>
      </c>
    </row>
    <row r="675" spans="1:11" x14ac:dyDescent="0.35">
      <c r="A675" s="2" t="s">
        <v>83</v>
      </c>
      <c r="B675" s="4" t="s">
        <v>84</v>
      </c>
      <c r="C675" s="2" t="s">
        <v>15</v>
      </c>
      <c r="D675" s="2" t="s">
        <v>24</v>
      </c>
      <c r="E675" s="2" t="s">
        <v>21</v>
      </c>
      <c r="F675" s="2">
        <v>37307.31</v>
      </c>
      <c r="G675" s="2">
        <v>9214.4</v>
      </c>
      <c r="H675" s="2">
        <v>13</v>
      </c>
      <c r="I675" s="2">
        <f t="shared" si="30"/>
        <v>28092.909999999996</v>
      </c>
      <c r="J675" s="2" t="str">
        <f t="shared" si="31"/>
        <v>December</v>
      </c>
      <c r="K675" s="9">
        <f t="shared" si="32"/>
        <v>0.75301355149969262</v>
      </c>
    </row>
    <row r="676" spans="1:11" x14ac:dyDescent="0.35">
      <c r="A676" s="2" t="s">
        <v>92</v>
      </c>
      <c r="B676" s="4" t="s">
        <v>93</v>
      </c>
      <c r="C676" s="2" t="s">
        <v>31</v>
      </c>
      <c r="D676" s="2" t="s">
        <v>24</v>
      </c>
      <c r="E676" s="2" t="s">
        <v>17</v>
      </c>
      <c r="F676" s="2">
        <v>33067.360000000001</v>
      </c>
      <c r="G676" s="2">
        <v>8397.0400000000009</v>
      </c>
      <c r="H676" s="2">
        <v>7</v>
      </c>
      <c r="I676" s="2">
        <f t="shared" si="30"/>
        <v>24670.32</v>
      </c>
      <c r="J676" s="2" t="str">
        <f t="shared" si="31"/>
        <v>July</v>
      </c>
      <c r="K676" s="9">
        <f t="shared" si="32"/>
        <v>0.7460625825587528</v>
      </c>
    </row>
    <row r="677" spans="1:11" x14ac:dyDescent="0.35">
      <c r="A677" s="2" t="s">
        <v>128</v>
      </c>
      <c r="B677" s="4" t="s">
        <v>82</v>
      </c>
      <c r="C677" s="2" t="s">
        <v>15</v>
      </c>
      <c r="D677" s="2" t="s">
        <v>24</v>
      </c>
      <c r="E677" s="2" t="s">
        <v>12</v>
      </c>
      <c r="F677" s="2">
        <v>31722.62</v>
      </c>
      <c r="G677" s="2">
        <v>6776.19</v>
      </c>
      <c r="H677" s="2">
        <v>3</v>
      </c>
      <c r="I677" s="2">
        <f t="shared" si="30"/>
        <v>24946.43</v>
      </c>
      <c r="J677" s="2" t="str">
        <f t="shared" si="31"/>
        <v>October</v>
      </c>
      <c r="K677" s="9">
        <f t="shared" si="32"/>
        <v>0.78639248586655208</v>
      </c>
    </row>
    <row r="678" spans="1:11" x14ac:dyDescent="0.35">
      <c r="A678" s="2" t="s">
        <v>129</v>
      </c>
      <c r="B678" s="4" t="s">
        <v>130</v>
      </c>
      <c r="C678" s="2" t="s">
        <v>10</v>
      </c>
      <c r="D678" s="2" t="s">
        <v>24</v>
      </c>
      <c r="E678" s="2" t="s">
        <v>12</v>
      </c>
      <c r="F678" s="2">
        <v>22552.28</v>
      </c>
      <c r="G678" s="2">
        <v>1616.82</v>
      </c>
      <c r="H678" s="2">
        <v>13</v>
      </c>
      <c r="I678" s="2">
        <f t="shared" si="30"/>
        <v>20935.46</v>
      </c>
      <c r="J678" s="2" t="str">
        <f t="shared" si="31"/>
        <v>August</v>
      </c>
      <c r="K678" s="9">
        <f t="shared" si="32"/>
        <v>0.92830791387833067</v>
      </c>
    </row>
    <row r="679" spans="1:11" x14ac:dyDescent="0.35">
      <c r="A679" s="2" t="s">
        <v>139</v>
      </c>
      <c r="B679" s="4" t="s">
        <v>140</v>
      </c>
      <c r="C679" s="2" t="s">
        <v>15</v>
      </c>
      <c r="D679" s="2" t="s">
        <v>24</v>
      </c>
      <c r="E679" s="2" t="s">
        <v>17</v>
      </c>
      <c r="F679" s="2">
        <v>44841.57</v>
      </c>
      <c r="G679" s="2">
        <v>9726.77</v>
      </c>
      <c r="H679" s="2">
        <v>16</v>
      </c>
      <c r="I679" s="2">
        <f t="shared" si="30"/>
        <v>35114.800000000003</v>
      </c>
      <c r="J679" s="2" t="str">
        <f t="shared" si="31"/>
        <v>November</v>
      </c>
      <c r="K679" s="9">
        <f t="shared" si="32"/>
        <v>0.78308587321987178</v>
      </c>
    </row>
    <row r="680" spans="1:11" x14ac:dyDescent="0.35">
      <c r="A680" s="2" t="s">
        <v>147</v>
      </c>
      <c r="B680" s="4" t="s">
        <v>148</v>
      </c>
      <c r="C680" s="2" t="s">
        <v>27</v>
      </c>
      <c r="D680" s="2" t="s">
        <v>24</v>
      </c>
      <c r="E680" s="2" t="s">
        <v>21</v>
      </c>
      <c r="F680" s="2">
        <v>22347.040000000001</v>
      </c>
      <c r="G680" s="2">
        <v>3286.45</v>
      </c>
      <c r="H680" s="2">
        <v>9</v>
      </c>
      <c r="I680" s="2">
        <f t="shared" si="30"/>
        <v>19060.59</v>
      </c>
      <c r="J680" s="2" t="str">
        <f t="shared" si="31"/>
        <v>March</v>
      </c>
      <c r="K680" s="9">
        <f t="shared" si="32"/>
        <v>0.85293578030915951</v>
      </c>
    </row>
    <row r="681" spans="1:11" x14ac:dyDescent="0.35">
      <c r="A681" s="2" t="s">
        <v>152</v>
      </c>
      <c r="B681" s="4" t="s">
        <v>153</v>
      </c>
      <c r="C681" s="2" t="s">
        <v>15</v>
      </c>
      <c r="D681" s="2" t="s">
        <v>24</v>
      </c>
      <c r="E681" s="2" t="s">
        <v>17</v>
      </c>
      <c r="F681" s="2">
        <v>31477.3</v>
      </c>
      <c r="G681" s="2">
        <v>5654.75</v>
      </c>
      <c r="H681" s="2">
        <v>17</v>
      </c>
      <c r="I681" s="2">
        <f t="shared" si="30"/>
        <v>25822.55</v>
      </c>
      <c r="J681" s="2" t="str">
        <f t="shared" si="31"/>
        <v>March</v>
      </c>
      <c r="K681" s="9">
        <f t="shared" si="32"/>
        <v>0.82035466828476389</v>
      </c>
    </row>
    <row r="682" spans="1:11" x14ac:dyDescent="0.35">
      <c r="A682" s="2" t="s">
        <v>184</v>
      </c>
      <c r="B682" s="4" t="s">
        <v>185</v>
      </c>
      <c r="C682" s="2" t="s">
        <v>15</v>
      </c>
      <c r="D682" s="2" t="s">
        <v>24</v>
      </c>
      <c r="E682" s="2" t="s">
        <v>12</v>
      </c>
      <c r="F682" s="2">
        <v>14200.17</v>
      </c>
      <c r="G682" s="2">
        <v>1912.52</v>
      </c>
      <c r="H682" s="2">
        <v>18</v>
      </c>
      <c r="I682" s="2">
        <f t="shared" si="30"/>
        <v>12287.65</v>
      </c>
      <c r="J682" s="2" t="str">
        <f t="shared" si="31"/>
        <v>June</v>
      </c>
      <c r="K682" s="9">
        <f t="shared" si="32"/>
        <v>0.86531710535859774</v>
      </c>
    </row>
    <row r="683" spans="1:11" x14ac:dyDescent="0.35">
      <c r="A683" s="2" t="s">
        <v>192</v>
      </c>
      <c r="B683" s="4" t="s">
        <v>193</v>
      </c>
      <c r="C683" s="2" t="s">
        <v>27</v>
      </c>
      <c r="D683" s="2" t="s">
        <v>24</v>
      </c>
      <c r="E683" s="2" t="s">
        <v>21</v>
      </c>
      <c r="F683" s="2">
        <v>39601.160000000003</v>
      </c>
      <c r="G683" s="2">
        <v>9287.25</v>
      </c>
      <c r="H683" s="2">
        <v>17</v>
      </c>
      <c r="I683" s="2">
        <f t="shared" si="30"/>
        <v>30313.910000000003</v>
      </c>
      <c r="J683" s="2" t="str">
        <f t="shared" si="31"/>
        <v>July</v>
      </c>
      <c r="K683" s="9">
        <f t="shared" si="32"/>
        <v>0.76548035461587494</v>
      </c>
    </row>
    <row r="684" spans="1:11" x14ac:dyDescent="0.35">
      <c r="A684" s="2" t="s">
        <v>207</v>
      </c>
      <c r="B684" s="4" t="s">
        <v>208</v>
      </c>
      <c r="C684" s="2" t="s">
        <v>10</v>
      </c>
      <c r="D684" s="2" t="s">
        <v>24</v>
      </c>
      <c r="E684" s="2" t="s">
        <v>12</v>
      </c>
      <c r="F684" s="2">
        <v>49865.93</v>
      </c>
      <c r="G684" s="2">
        <v>3989.04</v>
      </c>
      <c r="H684" s="2">
        <v>6</v>
      </c>
      <c r="I684" s="2">
        <f t="shared" si="30"/>
        <v>45876.89</v>
      </c>
      <c r="J684" s="2" t="str">
        <f t="shared" si="31"/>
        <v>April</v>
      </c>
      <c r="K684" s="9">
        <f t="shared" si="32"/>
        <v>0.92000470060420003</v>
      </c>
    </row>
    <row r="685" spans="1:11" x14ac:dyDescent="0.35">
      <c r="A685" s="2" t="s">
        <v>210</v>
      </c>
      <c r="B685" s="4" t="s">
        <v>211</v>
      </c>
      <c r="C685" s="2" t="s">
        <v>15</v>
      </c>
      <c r="D685" s="2" t="s">
        <v>24</v>
      </c>
      <c r="E685" s="2" t="s">
        <v>17</v>
      </c>
      <c r="F685" s="2">
        <v>19210.68</v>
      </c>
      <c r="G685" s="2">
        <v>1704.1</v>
      </c>
      <c r="H685" s="2">
        <v>15</v>
      </c>
      <c r="I685" s="2">
        <f t="shared" si="30"/>
        <v>17506.580000000002</v>
      </c>
      <c r="J685" s="2" t="str">
        <f t="shared" si="31"/>
        <v>June</v>
      </c>
      <c r="K685" s="9">
        <f t="shared" si="32"/>
        <v>0.91129413430445994</v>
      </c>
    </row>
    <row r="686" spans="1:11" x14ac:dyDescent="0.35">
      <c r="A686" s="2" t="s">
        <v>224</v>
      </c>
      <c r="B686" s="4" t="s">
        <v>225</v>
      </c>
      <c r="C686" s="2" t="s">
        <v>15</v>
      </c>
      <c r="D686" s="2" t="s">
        <v>24</v>
      </c>
      <c r="E686" s="2" t="s">
        <v>17</v>
      </c>
      <c r="F686" s="2">
        <v>12146.79</v>
      </c>
      <c r="G686" s="2">
        <v>1583.23</v>
      </c>
      <c r="H686" s="2">
        <v>15</v>
      </c>
      <c r="I686" s="2">
        <f t="shared" si="30"/>
        <v>10563.560000000001</v>
      </c>
      <c r="J686" s="2" t="str">
        <f t="shared" si="31"/>
        <v>February</v>
      </c>
      <c r="K686" s="9">
        <f t="shared" si="32"/>
        <v>0.86965856823078369</v>
      </c>
    </row>
    <row r="687" spans="1:11" x14ac:dyDescent="0.35">
      <c r="A687" s="2" t="s">
        <v>226</v>
      </c>
      <c r="B687" s="4" t="s">
        <v>14</v>
      </c>
      <c r="C687" s="2" t="s">
        <v>31</v>
      </c>
      <c r="D687" s="2" t="s">
        <v>24</v>
      </c>
      <c r="E687" s="2" t="s">
        <v>21</v>
      </c>
      <c r="F687" s="2">
        <v>46727.98</v>
      </c>
      <c r="G687" s="2">
        <v>3819.75</v>
      </c>
      <c r="H687" s="2">
        <v>17</v>
      </c>
      <c r="I687" s="2">
        <f t="shared" si="30"/>
        <v>42908.23</v>
      </c>
      <c r="J687" s="2" t="str">
        <f t="shared" si="31"/>
        <v>August</v>
      </c>
      <c r="K687" s="9">
        <f t="shared" si="32"/>
        <v>0.91825561473018946</v>
      </c>
    </row>
    <row r="688" spans="1:11" x14ac:dyDescent="0.35">
      <c r="A688" s="2" t="s">
        <v>237</v>
      </c>
      <c r="B688" s="4" t="s">
        <v>238</v>
      </c>
      <c r="C688" s="2" t="s">
        <v>15</v>
      </c>
      <c r="D688" s="2" t="s">
        <v>24</v>
      </c>
      <c r="E688" s="2" t="s">
        <v>21</v>
      </c>
      <c r="F688" s="2">
        <v>28733.22</v>
      </c>
      <c r="G688" s="2">
        <v>7903.22</v>
      </c>
      <c r="H688" s="2">
        <v>6</v>
      </c>
      <c r="I688" s="2">
        <f t="shared" si="30"/>
        <v>20830</v>
      </c>
      <c r="J688" s="2" t="str">
        <f t="shared" si="31"/>
        <v>August</v>
      </c>
      <c r="K688" s="9">
        <f t="shared" si="32"/>
        <v>0.72494485477088888</v>
      </c>
    </row>
    <row r="689" spans="1:11" x14ac:dyDescent="0.35">
      <c r="A689" s="2" t="s">
        <v>245</v>
      </c>
      <c r="B689" s="4" t="s">
        <v>246</v>
      </c>
      <c r="C689" s="2" t="s">
        <v>10</v>
      </c>
      <c r="D689" s="2" t="s">
        <v>24</v>
      </c>
      <c r="E689" s="2" t="s">
        <v>21</v>
      </c>
      <c r="F689" s="2">
        <v>42770.53</v>
      </c>
      <c r="G689" s="2">
        <v>4378.42</v>
      </c>
      <c r="H689" s="2">
        <v>16</v>
      </c>
      <c r="I689" s="2">
        <f t="shared" si="30"/>
        <v>38392.11</v>
      </c>
      <c r="J689" s="2" t="str">
        <f t="shared" si="31"/>
        <v>February</v>
      </c>
      <c r="K689" s="9">
        <f t="shared" si="32"/>
        <v>0.89762998026912455</v>
      </c>
    </row>
    <row r="690" spans="1:11" x14ac:dyDescent="0.35">
      <c r="A690" s="2" t="s">
        <v>255</v>
      </c>
      <c r="B690" s="4" t="s">
        <v>23</v>
      </c>
      <c r="C690" s="2" t="s">
        <v>10</v>
      </c>
      <c r="D690" s="2" t="s">
        <v>24</v>
      </c>
      <c r="E690" s="2" t="s">
        <v>12</v>
      </c>
      <c r="F690" s="2">
        <v>16237.68</v>
      </c>
      <c r="G690" s="2">
        <v>4223.1499999999996</v>
      </c>
      <c r="H690" s="2">
        <v>8</v>
      </c>
      <c r="I690" s="2">
        <f t="shared" si="30"/>
        <v>12014.53</v>
      </c>
      <c r="J690" s="2" t="str">
        <f t="shared" si="31"/>
        <v>July</v>
      </c>
      <c r="K690" s="9">
        <f t="shared" si="32"/>
        <v>0.73991666297155756</v>
      </c>
    </row>
    <row r="691" spans="1:11" x14ac:dyDescent="0.35">
      <c r="A691" s="2" t="s">
        <v>264</v>
      </c>
      <c r="B691" s="4" t="s">
        <v>265</v>
      </c>
      <c r="C691" s="2" t="s">
        <v>10</v>
      </c>
      <c r="D691" s="2" t="s">
        <v>24</v>
      </c>
      <c r="E691" s="2" t="s">
        <v>21</v>
      </c>
      <c r="F691" s="2">
        <v>34275.550000000003</v>
      </c>
      <c r="G691" s="2">
        <v>9980.31</v>
      </c>
      <c r="H691" s="2">
        <v>5</v>
      </c>
      <c r="I691" s="2">
        <f t="shared" si="30"/>
        <v>24295.240000000005</v>
      </c>
      <c r="J691" s="2" t="str">
        <f t="shared" si="31"/>
        <v>October</v>
      </c>
      <c r="K691" s="9">
        <f t="shared" si="32"/>
        <v>0.70882130264868115</v>
      </c>
    </row>
    <row r="692" spans="1:11" x14ac:dyDescent="0.35">
      <c r="A692" s="2" t="s">
        <v>266</v>
      </c>
      <c r="B692" s="4" t="s">
        <v>101</v>
      </c>
      <c r="C692" s="2" t="s">
        <v>27</v>
      </c>
      <c r="D692" s="2" t="s">
        <v>24</v>
      </c>
      <c r="E692" s="2" t="s">
        <v>17</v>
      </c>
      <c r="F692" s="2">
        <v>6541.94</v>
      </c>
      <c r="G692" s="2">
        <v>514.30999999999995</v>
      </c>
      <c r="H692" s="2">
        <v>15</v>
      </c>
      <c r="I692" s="2">
        <f t="shared" si="30"/>
        <v>6027.6299999999992</v>
      </c>
      <c r="J692" s="2" t="str">
        <f t="shared" si="31"/>
        <v>January</v>
      </c>
      <c r="K692" s="9">
        <f t="shared" si="32"/>
        <v>0.92138264796069658</v>
      </c>
    </row>
    <row r="693" spans="1:11" x14ac:dyDescent="0.35">
      <c r="A693" s="2" t="s">
        <v>274</v>
      </c>
      <c r="B693" s="4" t="s">
        <v>275</v>
      </c>
      <c r="C693" s="2" t="s">
        <v>31</v>
      </c>
      <c r="D693" s="2" t="s">
        <v>24</v>
      </c>
      <c r="E693" s="2" t="s">
        <v>12</v>
      </c>
      <c r="F693" s="2">
        <v>25694.16</v>
      </c>
      <c r="G693" s="2">
        <v>3796.02</v>
      </c>
      <c r="H693" s="2">
        <v>12</v>
      </c>
      <c r="I693" s="2">
        <f t="shared" si="30"/>
        <v>21898.14</v>
      </c>
      <c r="J693" s="2" t="str">
        <f t="shared" si="31"/>
        <v>August</v>
      </c>
      <c r="K693" s="9">
        <f t="shared" si="32"/>
        <v>0.85226136989884083</v>
      </c>
    </row>
    <row r="694" spans="1:11" x14ac:dyDescent="0.35">
      <c r="A694" s="2" t="s">
        <v>283</v>
      </c>
      <c r="B694" s="4" t="s">
        <v>284</v>
      </c>
      <c r="C694" s="2" t="s">
        <v>31</v>
      </c>
      <c r="D694" s="2" t="s">
        <v>24</v>
      </c>
      <c r="E694" s="2" t="s">
        <v>12</v>
      </c>
      <c r="F694" s="2">
        <v>24473.78</v>
      </c>
      <c r="G694" s="2">
        <v>5747.53</v>
      </c>
      <c r="H694" s="2">
        <v>13</v>
      </c>
      <c r="I694" s="2">
        <f t="shared" si="30"/>
        <v>18726.25</v>
      </c>
      <c r="J694" s="2" t="str">
        <f t="shared" si="31"/>
        <v>October</v>
      </c>
      <c r="K694" s="9">
        <f t="shared" si="32"/>
        <v>0.76515560734794552</v>
      </c>
    </row>
    <row r="695" spans="1:11" x14ac:dyDescent="0.35">
      <c r="A695" s="2" t="s">
        <v>304</v>
      </c>
      <c r="B695" s="4" t="s">
        <v>305</v>
      </c>
      <c r="C695" s="2" t="s">
        <v>10</v>
      </c>
      <c r="D695" s="2" t="s">
        <v>24</v>
      </c>
      <c r="E695" s="2" t="s">
        <v>21</v>
      </c>
      <c r="F695" s="2">
        <v>32011.54</v>
      </c>
      <c r="G695" s="2">
        <v>2767.34</v>
      </c>
      <c r="H695" s="2">
        <v>8</v>
      </c>
      <c r="I695" s="2">
        <f t="shared" si="30"/>
        <v>29244.2</v>
      </c>
      <c r="J695" s="2" t="str">
        <f t="shared" si="31"/>
        <v>January</v>
      </c>
      <c r="K695" s="9">
        <f t="shared" si="32"/>
        <v>0.91355180038198724</v>
      </c>
    </row>
    <row r="696" spans="1:11" x14ac:dyDescent="0.35">
      <c r="A696" s="2" t="s">
        <v>316</v>
      </c>
      <c r="B696" s="4" t="s">
        <v>317</v>
      </c>
      <c r="C696" s="2" t="s">
        <v>10</v>
      </c>
      <c r="D696" s="2" t="s">
        <v>24</v>
      </c>
      <c r="E696" s="2" t="s">
        <v>12</v>
      </c>
      <c r="F696" s="2">
        <v>29044.73</v>
      </c>
      <c r="G696" s="2">
        <v>3498.59</v>
      </c>
      <c r="H696" s="2">
        <v>19</v>
      </c>
      <c r="I696" s="2">
        <f t="shared" si="30"/>
        <v>25546.14</v>
      </c>
      <c r="J696" s="2" t="str">
        <f t="shared" si="31"/>
        <v>July</v>
      </c>
      <c r="K696" s="9">
        <f t="shared" si="32"/>
        <v>0.87954475734496407</v>
      </c>
    </row>
    <row r="697" spans="1:11" x14ac:dyDescent="0.35">
      <c r="A697" s="2" t="s">
        <v>328</v>
      </c>
      <c r="B697" s="4" t="s">
        <v>329</v>
      </c>
      <c r="C697" s="2" t="s">
        <v>27</v>
      </c>
      <c r="D697" s="2" t="s">
        <v>24</v>
      </c>
      <c r="E697" s="2" t="s">
        <v>17</v>
      </c>
      <c r="F697" s="2">
        <v>12632.81</v>
      </c>
      <c r="G697" s="2">
        <v>957.8</v>
      </c>
      <c r="H697" s="2">
        <v>10</v>
      </c>
      <c r="I697" s="2">
        <f t="shared" si="30"/>
        <v>11675.01</v>
      </c>
      <c r="J697" s="2" t="str">
        <f t="shared" si="31"/>
        <v>May</v>
      </c>
      <c r="K697" s="9">
        <f t="shared" si="32"/>
        <v>0.9241815558058738</v>
      </c>
    </row>
    <row r="698" spans="1:11" x14ac:dyDescent="0.35">
      <c r="A698" s="2" t="s">
        <v>333</v>
      </c>
      <c r="B698" s="4" t="s">
        <v>44</v>
      </c>
      <c r="C698" s="2" t="s">
        <v>10</v>
      </c>
      <c r="D698" s="2" t="s">
        <v>24</v>
      </c>
      <c r="E698" s="2" t="s">
        <v>21</v>
      </c>
      <c r="F698" s="2">
        <v>45577.26</v>
      </c>
      <c r="G698" s="2">
        <v>10973.04</v>
      </c>
      <c r="H698" s="2">
        <v>16</v>
      </c>
      <c r="I698" s="2">
        <f t="shared" si="30"/>
        <v>34604.22</v>
      </c>
      <c r="J698" s="2" t="str">
        <f t="shared" si="31"/>
        <v>March</v>
      </c>
      <c r="K698" s="9">
        <f t="shared" si="32"/>
        <v>0.7592430962282507</v>
      </c>
    </row>
    <row r="699" spans="1:11" x14ac:dyDescent="0.35">
      <c r="A699" s="2" t="s">
        <v>359</v>
      </c>
      <c r="B699" s="4" t="s">
        <v>360</v>
      </c>
      <c r="C699" s="2" t="s">
        <v>10</v>
      </c>
      <c r="D699" s="2" t="s">
        <v>24</v>
      </c>
      <c r="E699" s="2" t="s">
        <v>17</v>
      </c>
      <c r="F699" s="2">
        <v>45463.37</v>
      </c>
      <c r="G699" s="2">
        <v>6461.92</v>
      </c>
      <c r="H699" s="2">
        <v>18</v>
      </c>
      <c r="I699" s="2">
        <f t="shared" si="30"/>
        <v>39001.450000000004</v>
      </c>
      <c r="J699" s="2" t="str">
        <f t="shared" si="31"/>
        <v>February</v>
      </c>
      <c r="K699" s="9">
        <f t="shared" si="32"/>
        <v>0.85786535402017061</v>
      </c>
    </row>
    <row r="700" spans="1:11" x14ac:dyDescent="0.35">
      <c r="A700" s="2" t="s">
        <v>369</v>
      </c>
      <c r="B700" s="4" t="s">
        <v>370</v>
      </c>
      <c r="C700" s="2" t="s">
        <v>27</v>
      </c>
      <c r="D700" s="2" t="s">
        <v>24</v>
      </c>
      <c r="E700" s="2" t="s">
        <v>21</v>
      </c>
      <c r="F700" s="2">
        <v>19329.900000000001</v>
      </c>
      <c r="G700" s="2">
        <v>1552.44</v>
      </c>
      <c r="H700" s="2">
        <v>18</v>
      </c>
      <c r="I700" s="2">
        <f t="shared" si="30"/>
        <v>17777.460000000003</v>
      </c>
      <c r="J700" s="2" t="str">
        <f t="shared" si="31"/>
        <v>March</v>
      </c>
      <c r="K700" s="9">
        <f t="shared" si="32"/>
        <v>0.91968711685006133</v>
      </c>
    </row>
    <row r="701" spans="1:11" x14ac:dyDescent="0.35">
      <c r="A701" s="2" t="s">
        <v>381</v>
      </c>
      <c r="B701" s="4" t="s">
        <v>62</v>
      </c>
      <c r="C701" s="2" t="s">
        <v>15</v>
      </c>
      <c r="D701" s="2" t="s">
        <v>24</v>
      </c>
      <c r="E701" s="2" t="s">
        <v>12</v>
      </c>
      <c r="F701" s="2">
        <v>22757.73</v>
      </c>
      <c r="G701" s="2">
        <v>3557.07</v>
      </c>
      <c r="H701" s="2">
        <v>16</v>
      </c>
      <c r="I701" s="2">
        <f t="shared" si="30"/>
        <v>19200.66</v>
      </c>
      <c r="J701" s="2" t="str">
        <f t="shared" si="31"/>
        <v>January</v>
      </c>
      <c r="K701" s="9">
        <f t="shared" si="32"/>
        <v>0.84369838292307708</v>
      </c>
    </row>
    <row r="702" spans="1:11" x14ac:dyDescent="0.35">
      <c r="A702" s="2" t="s">
        <v>405</v>
      </c>
      <c r="B702" s="4" t="s">
        <v>406</v>
      </c>
      <c r="C702" s="2" t="s">
        <v>27</v>
      </c>
      <c r="D702" s="2" t="s">
        <v>24</v>
      </c>
      <c r="E702" s="2" t="s">
        <v>12</v>
      </c>
      <c r="F702" s="2">
        <v>2204.27</v>
      </c>
      <c r="G702" s="2">
        <v>340.98</v>
      </c>
      <c r="H702" s="2">
        <v>3</v>
      </c>
      <c r="I702" s="2">
        <f t="shared" si="30"/>
        <v>1863.29</v>
      </c>
      <c r="J702" s="2" t="str">
        <f t="shared" si="31"/>
        <v>February</v>
      </c>
      <c r="K702" s="9">
        <f t="shared" si="32"/>
        <v>0.84530933143398945</v>
      </c>
    </row>
    <row r="703" spans="1:11" x14ac:dyDescent="0.35">
      <c r="A703" s="2" t="s">
        <v>423</v>
      </c>
      <c r="B703" s="4" t="s">
        <v>146</v>
      </c>
      <c r="C703" s="2" t="s">
        <v>15</v>
      </c>
      <c r="D703" s="2" t="s">
        <v>24</v>
      </c>
      <c r="E703" s="2" t="s">
        <v>17</v>
      </c>
      <c r="F703" s="2">
        <v>30832.78</v>
      </c>
      <c r="G703" s="2">
        <v>9063.0300000000007</v>
      </c>
      <c r="H703" s="2">
        <v>7</v>
      </c>
      <c r="I703" s="2">
        <f t="shared" si="30"/>
        <v>21769.75</v>
      </c>
      <c r="J703" s="2" t="str">
        <f t="shared" si="31"/>
        <v>August</v>
      </c>
      <c r="K703" s="9">
        <f t="shared" si="32"/>
        <v>0.70605861683571836</v>
      </c>
    </row>
    <row r="704" spans="1:11" x14ac:dyDescent="0.35">
      <c r="A704" s="2" t="s">
        <v>425</v>
      </c>
      <c r="B704" s="4" t="s">
        <v>426</v>
      </c>
      <c r="C704" s="2" t="s">
        <v>27</v>
      </c>
      <c r="D704" s="2" t="s">
        <v>24</v>
      </c>
      <c r="E704" s="2" t="s">
        <v>21</v>
      </c>
      <c r="F704" s="2">
        <v>20902.68</v>
      </c>
      <c r="G704" s="2">
        <v>1146.6500000000001</v>
      </c>
      <c r="H704" s="2">
        <v>9</v>
      </c>
      <c r="I704" s="2">
        <f t="shared" si="30"/>
        <v>19756.03</v>
      </c>
      <c r="J704" s="2" t="str">
        <f t="shared" si="31"/>
        <v>February</v>
      </c>
      <c r="K704" s="9">
        <f t="shared" si="32"/>
        <v>0.94514339788008039</v>
      </c>
    </row>
    <row r="705" spans="1:11" x14ac:dyDescent="0.35">
      <c r="A705" s="2" t="s">
        <v>428</v>
      </c>
      <c r="B705" s="4" t="s">
        <v>142</v>
      </c>
      <c r="C705" s="2" t="s">
        <v>10</v>
      </c>
      <c r="D705" s="2" t="s">
        <v>24</v>
      </c>
      <c r="E705" s="2" t="s">
        <v>21</v>
      </c>
      <c r="F705" s="2">
        <v>846.08</v>
      </c>
      <c r="G705" s="2">
        <v>135.78</v>
      </c>
      <c r="H705" s="2">
        <v>9</v>
      </c>
      <c r="I705" s="2">
        <f t="shared" si="30"/>
        <v>710.30000000000007</v>
      </c>
      <c r="J705" s="2" t="str">
        <f t="shared" si="31"/>
        <v>September</v>
      </c>
      <c r="K705" s="9">
        <f t="shared" si="32"/>
        <v>0.83951872163388808</v>
      </c>
    </row>
    <row r="706" spans="1:11" x14ac:dyDescent="0.35">
      <c r="A706" s="2" t="s">
        <v>430</v>
      </c>
      <c r="B706" s="4" t="s">
        <v>387</v>
      </c>
      <c r="C706" s="2" t="s">
        <v>31</v>
      </c>
      <c r="D706" s="2" t="s">
        <v>24</v>
      </c>
      <c r="E706" s="2" t="s">
        <v>17</v>
      </c>
      <c r="F706" s="2">
        <v>5533.46</v>
      </c>
      <c r="G706" s="2">
        <v>1218.3800000000001</v>
      </c>
      <c r="H706" s="2">
        <v>20</v>
      </c>
      <c r="I706" s="2">
        <f t="shared" ref="I706:I769" si="33">(F706-G706)</f>
        <v>4315.08</v>
      </c>
      <c r="J706" s="2" t="str">
        <f t="shared" ref="J706:J769" si="34">TEXT(B706,"mmmm")</f>
        <v>July</v>
      </c>
      <c r="K706" s="9">
        <f t="shared" ref="K706:K769" si="35">(F706-G706)/F706</f>
        <v>0.77981588373278199</v>
      </c>
    </row>
    <row r="707" spans="1:11" x14ac:dyDescent="0.35">
      <c r="A707" s="2" t="s">
        <v>431</v>
      </c>
      <c r="B707" s="4" t="s">
        <v>250</v>
      </c>
      <c r="C707" s="2" t="s">
        <v>31</v>
      </c>
      <c r="D707" s="2" t="s">
        <v>24</v>
      </c>
      <c r="E707" s="2" t="s">
        <v>21</v>
      </c>
      <c r="F707" s="2">
        <v>12625.43</v>
      </c>
      <c r="G707" s="2">
        <v>1388.39</v>
      </c>
      <c r="H707" s="2">
        <v>15</v>
      </c>
      <c r="I707" s="2">
        <f t="shared" si="33"/>
        <v>11237.04</v>
      </c>
      <c r="J707" s="2" t="str">
        <f t="shared" si="34"/>
        <v>February</v>
      </c>
      <c r="K707" s="9">
        <f t="shared" si="35"/>
        <v>0.89003226028737248</v>
      </c>
    </row>
    <row r="708" spans="1:11" x14ac:dyDescent="0.35">
      <c r="A708" s="2" t="s">
        <v>449</v>
      </c>
      <c r="B708" s="4" t="s">
        <v>450</v>
      </c>
      <c r="C708" s="2" t="s">
        <v>15</v>
      </c>
      <c r="D708" s="2" t="s">
        <v>24</v>
      </c>
      <c r="E708" s="2" t="s">
        <v>17</v>
      </c>
      <c r="F708" s="2">
        <v>13629.5</v>
      </c>
      <c r="G708" s="2">
        <v>3042.16</v>
      </c>
      <c r="H708" s="2">
        <v>7</v>
      </c>
      <c r="I708" s="2">
        <f t="shared" si="33"/>
        <v>10587.34</v>
      </c>
      <c r="J708" s="2" t="str">
        <f t="shared" si="34"/>
        <v>December</v>
      </c>
      <c r="K708" s="9">
        <f t="shared" si="35"/>
        <v>0.77679592061337543</v>
      </c>
    </row>
    <row r="709" spans="1:11" x14ac:dyDescent="0.35">
      <c r="A709" s="2" t="s">
        <v>451</v>
      </c>
      <c r="B709" s="4" t="s">
        <v>452</v>
      </c>
      <c r="C709" s="2" t="s">
        <v>31</v>
      </c>
      <c r="D709" s="2" t="s">
        <v>24</v>
      </c>
      <c r="E709" s="2" t="s">
        <v>12</v>
      </c>
      <c r="F709" s="2">
        <v>19473.39</v>
      </c>
      <c r="G709" s="2">
        <v>4698.09</v>
      </c>
      <c r="H709" s="2">
        <v>2</v>
      </c>
      <c r="I709" s="2">
        <f t="shared" si="33"/>
        <v>14775.3</v>
      </c>
      <c r="J709" s="2" t="str">
        <f t="shared" si="34"/>
        <v>December</v>
      </c>
      <c r="K709" s="9">
        <f t="shared" si="35"/>
        <v>0.75874308479417296</v>
      </c>
    </row>
    <row r="710" spans="1:11" x14ac:dyDescent="0.35">
      <c r="A710" s="2" t="s">
        <v>454</v>
      </c>
      <c r="B710" s="4" t="s">
        <v>234</v>
      </c>
      <c r="C710" s="2" t="s">
        <v>27</v>
      </c>
      <c r="D710" s="2" t="s">
        <v>24</v>
      </c>
      <c r="E710" s="2" t="s">
        <v>12</v>
      </c>
      <c r="F710" s="2">
        <v>15281.49</v>
      </c>
      <c r="G710" s="2">
        <v>3341.09</v>
      </c>
      <c r="H710" s="2">
        <v>10</v>
      </c>
      <c r="I710" s="2">
        <f t="shared" si="33"/>
        <v>11940.4</v>
      </c>
      <c r="J710" s="2" t="str">
        <f t="shared" si="34"/>
        <v>October</v>
      </c>
      <c r="K710" s="9">
        <f t="shared" si="35"/>
        <v>0.78136359739789774</v>
      </c>
    </row>
    <row r="711" spans="1:11" x14ac:dyDescent="0.35">
      <c r="A711" s="2" t="s">
        <v>460</v>
      </c>
      <c r="B711" s="4" t="s">
        <v>404</v>
      </c>
      <c r="C711" s="2" t="s">
        <v>15</v>
      </c>
      <c r="D711" s="2" t="s">
        <v>24</v>
      </c>
      <c r="E711" s="2" t="s">
        <v>12</v>
      </c>
      <c r="F711" s="2">
        <v>43086.36</v>
      </c>
      <c r="G711" s="2">
        <v>6632.49</v>
      </c>
      <c r="H711" s="2">
        <v>11</v>
      </c>
      <c r="I711" s="2">
        <f t="shared" si="33"/>
        <v>36453.870000000003</v>
      </c>
      <c r="J711" s="2" t="str">
        <f t="shared" si="34"/>
        <v>December</v>
      </c>
      <c r="K711" s="9">
        <f t="shared" si="35"/>
        <v>0.8460652048583357</v>
      </c>
    </row>
    <row r="712" spans="1:11" x14ac:dyDescent="0.35">
      <c r="A712" s="2" t="s">
        <v>480</v>
      </c>
      <c r="B712" s="4" t="s">
        <v>215</v>
      </c>
      <c r="C712" s="2" t="s">
        <v>31</v>
      </c>
      <c r="D712" s="2" t="s">
        <v>24</v>
      </c>
      <c r="E712" s="2" t="s">
        <v>21</v>
      </c>
      <c r="F712" s="2">
        <v>19665.41</v>
      </c>
      <c r="G712" s="2">
        <v>1953.56</v>
      </c>
      <c r="H712" s="2">
        <v>20</v>
      </c>
      <c r="I712" s="2">
        <f t="shared" si="33"/>
        <v>17711.849999999999</v>
      </c>
      <c r="J712" s="2" t="str">
        <f t="shared" si="34"/>
        <v>October</v>
      </c>
      <c r="K712" s="9">
        <f t="shared" si="35"/>
        <v>0.90066009302628314</v>
      </c>
    </row>
    <row r="713" spans="1:11" x14ac:dyDescent="0.35">
      <c r="A713" s="2" t="s">
        <v>481</v>
      </c>
      <c r="B713" s="4" t="s">
        <v>208</v>
      </c>
      <c r="C713" s="2" t="s">
        <v>10</v>
      </c>
      <c r="D713" s="2" t="s">
        <v>24</v>
      </c>
      <c r="E713" s="2" t="s">
        <v>12</v>
      </c>
      <c r="F713" s="2">
        <v>32231.97</v>
      </c>
      <c r="G713" s="2">
        <v>9569.75</v>
      </c>
      <c r="H713" s="2">
        <v>8</v>
      </c>
      <c r="I713" s="2">
        <f t="shared" si="33"/>
        <v>22662.22</v>
      </c>
      <c r="J713" s="2" t="str">
        <f t="shared" si="34"/>
        <v>April</v>
      </c>
      <c r="K713" s="9">
        <f t="shared" si="35"/>
        <v>0.70309757672273832</v>
      </c>
    </row>
    <row r="714" spans="1:11" x14ac:dyDescent="0.35">
      <c r="A714" s="2" t="s">
        <v>519</v>
      </c>
      <c r="B714" s="4" t="s">
        <v>520</v>
      </c>
      <c r="C714" s="2" t="s">
        <v>15</v>
      </c>
      <c r="D714" s="2" t="s">
        <v>24</v>
      </c>
      <c r="E714" s="2" t="s">
        <v>21</v>
      </c>
      <c r="F714" s="2">
        <v>8157.4</v>
      </c>
      <c r="G714" s="2">
        <v>2387.75</v>
      </c>
      <c r="H714" s="2">
        <v>20</v>
      </c>
      <c r="I714" s="2">
        <f t="shared" si="33"/>
        <v>5769.65</v>
      </c>
      <c r="J714" s="2" t="str">
        <f t="shared" si="34"/>
        <v>August</v>
      </c>
      <c r="K714" s="9">
        <f t="shared" si="35"/>
        <v>0.70729031308995516</v>
      </c>
    </row>
    <row r="715" spans="1:11" x14ac:dyDescent="0.35">
      <c r="A715" s="2" t="s">
        <v>522</v>
      </c>
      <c r="B715" s="4" t="s">
        <v>523</v>
      </c>
      <c r="C715" s="2" t="s">
        <v>10</v>
      </c>
      <c r="D715" s="2" t="s">
        <v>24</v>
      </c>
      <c r="E715" s="2" t="s">
        <v>17</v>
      </c>
      <c r="F715" s="2">
        <v>22100.49</v>
      </c>
      <c r="G715" s="2">
        <v>4802.37</v>
      </c>
      <c r="H715" s="2">
        <v>18</v>
      </c>
      <c r="I715" s="2">
        <f t="shared" si="33"/>
        <v>17298.120000000003</v>
      </c>
      <c r="J715" s="2" t="str">
        <f t="shared" si="34"/>
        <v>January</v>
      </c>
      <c r="K715" s="9">
        <f t="shared" si="35"/>
        <v>0.78270300794235792</v>
      </c>
    </row>
    <row r="716" spans="1:11" x14ac:dyDescent="0.35">
      <c r="A716" s="2" t="s">
        <v>534</v>
      </c>
      <c r="B716" s="4" t="s">
        <v>305</v>
      </c>
      <c r="C716" s="2" t="s">
        <v>27</v>
      </c>
      <c r="D716" s="2" t="s">
        <v>24</v>
      </c>
      <c r="E716" s="2" t="s">
        <v>21</v>
      </c>
      <c r="F716" s="2">
        <v>23763.66</v>
      </c>
      <c r="G716" s="2">
        <v>5028.83</v>
      </c>
      <c r="H716" s="2">
        <v>2</v>
      </c>
      <c r="I716" s="2">
        <f t="shared" si="33"/>
        <v>18734.830000000002</v>
      </c>
      <c r="J716" s="2" t="str">
        <f t="shared" si="34"/>
        <v>January</v>
      </c>
      <c r="K716" s="9">
        <f t="shared" si="35"/>
        <v>0.78838150352260561</v>
      </c>
    </row>
    <row r="717" spans="1:11" x14ac:dyDescent="0.35">
      <c r="A717" s="2" t="s">
        <v>548</v>
      </c>
      <c r="B717" s="4" t="s">
        <v>549</v>
      </c>
      <c r="C717" s="2" t="s">
        <v>31</v>
      </c>
      <c r="D717" s="2" t="s">
        <v>24</v>
      </c>
      <c r="E717" s="2" t="s">
        <v>12</v>
      </c>
      <c r="F717" s="2">
        <v>22630.67</v>
      </c>
      <c r="G717" s="2">
        <v>6757.92</v>
      </c>
      <c r="H717" s="2">
        <v>8</v>
      </c>
      <c r="I717" s="2">
        <f t="shared" si="33"/>
        <v>15872.749999999998</v>
      </c>
      <c r="J717" s="2" t="str">
        <f t="shared" si="34"/>
        <v>November</v>
      </c>
      <c r="K717" s="9">
        <f t="shared" si="35"/>
        <v>0.70138223923551535</v>
      </c>
    </row>
    <row r="718" spans="1:11" x14ac:dyDescent="0.35">
      <c r="A718" s="2" t="s">
        <v>550</v>
      </c>
      <c r="B718" s="4" t="s">
        <v>44</v>
      </c>
      <c r="C718" s="2" t="s">
        <v>31</v>
      </c>
      <c r="D718" s="2" t="s">
        <v>24</v>
      </c>
      <c r="E718" s="2" t="s">
        <v>17</v>
      </c>
      <c r="F718" s="2">
        <v>4733.58</v>
      </c>
      <c r="G718" s="2">
        <v>666.57</v>
      </c>
      <c r="H718" s="2">
        <v>15</v>
      </c>
      <c r="I718" s="2">
        <f t="shared" si="33"/>
        <v>4067.0099999999998</v>
      </c>
      <c r="J718" s="2" t="str">
        <f t="shared" si="34"/>
        <v>March</v>
      </c>
      <c r="K718" s="9">
        <f t="shared" si="35"/>
        <v>0.85918269047951024</v>
      </c>
    </row>
    <row r="719" spans="1:11" x14ac:dyDescent="0.35">
      <c r="A719" s="2" t="s">
        <v>557</v>
      </c>
      <c r="B719" s="4" t="s">
        <v>123</v>
      </c>
      <c r="C719" s="2" t="s">
        <v>31</v>
      </c>
      <c r="D719" s="2" t="s">
        <v>24</v>
      </c>
      <c r="E719" s="2" t="s">
        <v>17</v>
      </c>
      <c r="F719" s="2">
        <v>12435.23</v>
      </c>
      <c r="G719" s="2">
        <v>3443.16</v>
      </c>
      <c r="H719" s="2">
        <v>6</v>
      </c>
      <c r="I719" s="2">
        <f t="shared" si="33"/>
        <v>8992.07</v>
      </c>
      <c r="J719" s="2" t="str">
        <f t="shared" si="34"/>
        <v>February</v>
      </c>
      <c r="K719" s="9">
        <f t="shared" si="35"/>
        <v>0.72311247962442193</v>
      </c>
    </row>
    <row r="720" spans="1:11" x14ac:dyDescent="0.35">
      <c r="A720" s="2" t="s">
        <v>563</v>
      </c>
      <c r="B720" s="4" t="s">
        <v>564</v>
      </c>
      <c r="C720" s="2" t="s">
        <v>15</v>
      </c>
      <c r="D720" s="2" t="s">
        <v>24</v>
      </c>
      <c r="E720" s="2" t="s">
        <v>12</v>
      </c>
      <c r="F720" s="2">
        <v>7484.56</v>
      </c>
      <c r="G720" s="2">
        <v>391.89</v>
      </c>
      <c r="H720" s="2">
        <v>16</v>
      </c>
      <c r="I720" s="2">
        <f t="shared" si="33"/>
        <v>7092.67</v>
      </c>
      <c r="J720" s="2" t="str">
        <f t="shared" si="34"/>
        <v>May</v>
      </c>
      <c r="K720" s="9">
        <f t="shared" si="35"/>
        <v>0.94764020864285936</v>
      </c>
    </row>
    <row r="721" spans="1:11" x14ac:dyDescent="0.35">
      <c r="A721" s="2" t="s">
        <v>577</v>
      </c>
      <c r="B721" s="4" t="s">
        <v>127</v>
      </c>
      <c r="C721" s="2" t="s">
        <v>10</v>
      </c>
      <c r="D721" s="2" t="s">
        <v>24</v>
      </c>
      <c r="E721" s="2" t="s">
        <v>12</v>
      </c>
      <c r="F721" s="2">
        <v>16235.67</v>
      </c>
      <c r="G721" s="2">
        <v>2737.21</v>
      </c>
      <c r="H721" s="2">
        <v>3</v>
      </c>
      <c r="I721" s="2">
        <f t="shared" si="33"/>
        <v>13498.46</v>
      </c>
      <c r="J721" s="2" t="str">
        <f t="shared" si="34"/>
        <v>June</v>
      </c>
      <c r="K721" s="9">
        <f t="shared" si="35"/>
        <v>0.831407635163809</v>
      </c>
    </row>
    <row r="722" spans="1:11" x14ac:dyDescent="0.35">
      <c r="A722" s="2" t="s">
        <v>578</v>
      </c>
      <c r="B722" s="4" t="s">
        <v>437</v>
      </c>
      <c r="C722" s="2" t="s">
        <v>15</v>
      </c>
      <c r="D722" s="2" t="s">
        <v>24</v>
      </c>
      <c r="E722" s="2" t="s">
        <v>12</v>
      </c>
      <c r="F722" s="2">
        <v>15555.08</v>
      </c>
      <c r="G722" s="2">
        <v>3413.99</v>
      </c>
      <c r="H722" s="2">
        <v>9</v>
      </c>
      <c r="I722" s="2">
        <f t="shared" si="33"/>
        <v>12141.09</v>
      </c>
      <c r="J722" s="2" t="str">
        <f t="shared" si="34"/>
        <v>October</v>
      </c>
      <c r="K722" s="9">
        <f t="shared" si="35"/>
        <v>0.78052250454513894</v>
      </c>
    </row>
    <row r="723" spans="1:11" x14ac:dyDescent="0.35">
      <c r="A723" s="2" t="s">
        <v>579</v>
      </c>
      <c r="B723" s="4" t="s">
        <v>368</v>
      </c>
      <c r="C723" s="2" t="s">
        <v>27</v>
      </c>
      <c r="D723" s="2" t="s">
        <v>24</v>
      </c>
      <c r="E723" s="2" t="s">
        <v>12</v>
      </c>
      <c r="F723" s="2">
        <v>12054.96</v>
      </c>
      <c r="G723" s="2">
        <v>1607.54</v>
      </c>
      <c r="H723" s="2">
        <v>12</v>
      </c>
      <c r="I723" s="2">
        <f t="shared" si="33"/>
        <v>10447.419999999998</v>
      </c>
      <c r="J723" s="2" t="str">
        <f t="shared" si="34"/>
        <v>June</v>
      </c>
      <c r="K723" s="9">
        <f t="shared" si="35"/>
        <v>0.86664908054443968</v>
      </c>
    </row>
    <row r="724" spans="1:11" x14ac:dyDescent="0.35">
      <c r="A724" s="2" t="s">
        <v>603</v>
      </c>
      <c r="B724" s="4" t="s">
        <v>604</v>
      </c>
      <c r="C724" s="2" t="s">
        <v>10</v>
      </c>
      <c r="D724" s="2" t="s">
        <v>24</v>
      </c>
      <c r="E724" s="2" t="s">
        <v>12</v>
      </c>
      <c r="F724" s="2">
        <v>18419.82</v>
      </c>
      <c r="G724" s="2">
        <v>1799.19</v>
      </c>
      <c r="H724" s="2">
        <v>11</v>
      </c>
      <c r="I724" s="2">
        <f t="shared" si="33"/>
        <v>16620.63</v>
      </c>
      <c r="J724" s="2" t="str">
        <f t="shared" si="34"/>
        <v>October</v>
      </c>
      <c r="K724" s="9">
        <f t="shared" si="35"/>
        <v>0.90232314973761962</v>
      </c>
    </row>
    <row r="725" spans="1:11" x14ac:dyDescent="0.35">
      <c r="A725" s="2" t="s">
        <v>609</v>
      </c>
      <c r="B725" s="4" t="s">
        <v>153</v>
      </c>
      <c r="C725" s="2" t="s">
        <v>31</v>
      </c>
      <c r="D725" s="2" t="s">
        <v>24</v>
      </c>
      <c r="E725" s="2" t="s">
        <v>17</v>
      </c>
      <c r="F725" s="2">
        <v>42920.9</v>
      </c>
      <c r="G725" s="2">
        <v>3849.13</v>
      </c>
      <c r="H725" s="2">
        <v>17</v>
      </c>
      <c r="I725" s="2">
        <f t="shared" si="33"/>
        <v>39071.770000000004</v>
      </c>
      <c r="J725" s="2" t="str">
        <f t="shared" si="34"/>
        <v>March</v>
      </c>
      <c r="K725" s="9">
        <f t="shared" si="35"/>
        <v>0.91032038004794869</v>
      </c>
    </row>
    <row r="726" spans="1:11" x14ac:dyDescent="0.35">
      <c r="A726" s="2" t="s">
        <v>614</v>
      </c>
      <c r="B726" s="4" t="s">
        <v>615</v>
      </c>
      <c r="C726" s="2" t="s">
        <v>15</v>
      </c>
      <c r="D726" s="2" t="s">
        <v>24</v>
      </c>
      <c r="E726" s="2" t="s">
        <v>17</v>
      </c>
      <c r="F726" s="2">
        <v>36437.42</v>
      </c>
      <c r="G726" s="2">
        <v>8912.52</v>
      </c>
      <c r="H726" s="2">
        <v>5</v>
      </c>
      <c r="I726" s="2">
        <f t="shared" si="33"/>
        <v>27524.899999999998</v>
      </c>
      <c r="J726" s="2" t="str">
        <f t="shared" si="34"/>
        <v>November</v>
      </c>
      <c r="K726" s="9">
        <f t="shared" si="35"/>
        <v>0.75540200156871695</v>
      </c>
    </row>
    <row r="727" spans="1:11" x14ac:dyDescent="0.35">
      <c r="A727" s="2" t="s">
        <v>641</v>
      </c>
      <c r="B727" s="4" t="s">
        <v>130</v>
      </c>
      <c r="C727" s="2" t="s">
        <v>27</v>
      </c>
      <c r="D727" s="2" t="s">
        <v>24</v>
      </c>
      <c r="E727" s="2" t="s">
        <v>17</v>
      </c>
      <c r="F727" s="2">
        <v>22931.93</v>
      </c>
      <c r="G727" s="2">
        <v>2282.5700000000002</v>
      </c>
      <c r="H727" s="2">
        <v>3</v>
      </c>
      <c r="I727" s="2">
        <f t="shared" si="33"/>
        <v>20649.36</v>
      </c>
      <c r="J727" s="2" t="str">
        <f t="shared" si="34"/>
        <v>August</v>
      </c>
      <c r="K727" s="9">
        <f t="shared" si="35"/>
        <v>0.90046324055585381</v>
      </c>
    </row>
    <row r="728" spans="1:11" x14ac:dyDescent="0.35">
      <c r="A728" s="2" t="s">
        <v>642</v>
      </c>
      <c r="B728" s="4" t="s">
        <v>643</v>
      </c>
      <c r="C728" s="2" t="s">
        <v>27</v>
      </c>
      <c r="D728" s="2" t="s">
        <v>24</v>
      </c>
      <c r="E728" s="2" t="s">
        <v>12</v>
      </c>
      <c r="F728" s="2">
        <v>42338.49</v>
      </c>
      <c r="G728" s="2">
        <v>12311.82</v>
      </c>
      <c r="H728" s="2">
        <v>3</v>
      </c>
      <c r="I728" s="2">
        <f t="shared" si="33"/>
        <v>30026.67</v>
      </c>
      <c r="J728" s="2" t="str">
        <f t="shared" si="34"/>
        <v>June</v>
      </c>
      <c r="K728" s="9">
        <f t="shared" si="35"/>
        <v>0.70920502833237553</v>
      </c>
    </row>
    <row r="729" spans="1:11" x14ac:dyDescent="0.35">
      <c r="A729" s="2" t="s">
        <v>648</v>
      </c>
      <c r="B729" s="4" t="s">
        <v>176</v>
      </c>
      <c r="C729" s="2" t="s">
        <v>27</v>
      </c>
      <c r="D729" s="2" t="s">
        <v>24</v>
      </c>
      <c r="E729" s="2" t="s">
        <v>12</v>
      </c>
      <c r="F729" s="2">
        <v>21074.09</v>
      </c>
      <c r="G729" s="2">
        <v>5363.27</v>
      </c>
      <c r="H729" s="2">
        <v>10</v>
      </c>
      <c r="I729" s="2">
        <f t="shared" si="33"/>
        <v>15710.82</v>
      </c>
      <c r="J729" s="2" t="str">
        <f t="shared" si="34"/>
        <v>November</v>
      </c>
      <c r="K729" s="9">
        <f t="shared" si="35"/>
        <v>0.74550407633259608</v>
      </c>
    </row>
    <row r="730" spans="1:11" x14ac:dyDescent="0.35">
      <c r="A730" s="2" t="s">
        <v>661</v>
      </c>
      <c r="B730" s="4" t="s">
        <v>662</v>
      </c>
      <c r="C730" s="2" t="s">
        <v>15</v>
      </c>
      <c r="D730" s="2" t="s">
        <v>24</v>
      </c>
      <c r="E730" s="2" t="s">
        <v>12</v>
      </c>
      <c r="F730" s="2">
        <v>29367.02</v>
      </c>
      <c r="G730" s="2">
        <v>8367.69</v>
      </c>
      <c r="H730" s="2">
        <v>1</v>
      </c>
      <c r="I730" s="2">
        <f t="shared" si="33"/>
        <v>20999.33</v>
      </c>
      <c r="J730" s="2" t="str">
        <f t="shared" si="34"/>
        <v>October</v>
      </c>
      <c r="K730" s="9">
        <f t="shared" si="35"/>
        <v>0.71506506278131055</v>
      </c>
    </row>
    <row r="731" spans="1:11" x14ac:dyDescent="0.35">
      <c r="A731" s="2" t="s">
        <v>665</v>
      </c>
      <c r="B731" s="4" t="s">
        <v>533</v>
      </c>
      <c r="C731" s="2" t="s">
        <v>27</v>
      </c>
      <c r="D731" s="2" t="s">
        <v>24</v>
      </c>
      <c r="E731" s="2" t="s">
        <v>12</v>
      </c>
      <c r="F731" s="2">
        <v>8510.9500000000007</v>
      </c>
      <c r="G731" s="2">
        <v>580.32000000000005</v>
      </c>
      <c r="H731" s="2">
        <v>10</v>
      </c>
      <c r="I731" s="2">
        <f t="shared" si="33"/>
        <v>7930.630000000001</v>
      </c>
      <c r="J731" s="2" t="str">
        <f t="shared" si="34"/>
        <v>March</v>
      </c>
      <c r="K731" s="9">
        <f t="shared" si="35"/>
        <v>0.93181489727938716</v>
      </c>
    </row>
    <row r="732" spans="1:11" x14ac:dyDescent="0.35">
      <c r="A732" s="2" t="s">
        <v>670</v>
      </c>
      <c r="B732" s="4" t="s">
        <v>230</v>
      </c>
      <c r="C732" s="2" t="s">
        <v>10</v>
      </c>
      <c r="D732" s="2" t="s">
        <v>24</v>
      </c>
      <c r="E732" s="2" t="s">
        <v>17</v>
      </c>
      <c r="F732" s="2">
        <v>45494.89</v>
      </c>
      <c r="G732" s="2">
        <v>4627.38</v>
      </c>
      <c r="H732" s="2">
        <v>13</v>
      </c>
      <c r="I732" s="2">
        <f t="shared" si="33"/>
        <v>40867.51</v>
      </c>
      <c r="J732" s="2" t="str">
        <f t="shared" si="34"/>
        <v>October</v>
      </c>
      <c r="K732" s="9">
        <f t="shared" si="35"/>
        <v>0.89828791761008775</v>
      </c>
    </row>
    <row r="733" spans="1:11" x14ac:dyDescent="0.35">
      <c r="A733" s="2" t="s">
        <v>679</v>
      </c>
      <c r="B733" s="4" t="s">
        <v>680</v>
      </c>
      <c r="C733" s="2" t="s">
        <v>10</v>
      </c>
      <c r="D733" s="2" t="s">
        <v>24</v>
      </c>
      <c r="E733" s="2" t="s">
        <v>17</v>
      </c>
      <c r="F733" s="2">
        <v>36555.47</v>
      </c>
      <c r="G733" s="2">
        <v>5658.74</v>
      </c>
      <c r="H733" s="2">
        <v>1</v>
      </c>
      <c r="I733" s="2">
        <f t="shared" si="33"/>
        <v>30896.730000000003</v>
      </c>
      <c r="J733" s="2" t="str">
        <f t="shared" si="34"/>
        <v>May</v>
      </c>
      <c r="K733" s="9">
        <f t="shared" si="35"/>
        <v>0.84520127904250719</v>
      </c>
    </row>
    <row r="734" spans="1:11" x14ac:dyDescent="0.35">
      <c r="A734" s="2" t="s">
        <v>691</v>
      </c>
      <c r="B734" s="4" t="s">
        <v>658</v>
      </c>
      <c r="C734" s="2" t="s">
        <v>31</v>
      </c>
      <c r="D734" s="2" t="s">
        <v>24</v>
      </c>
      <c r="E734" s="2" t="s">
        <v>17</v>
      </c>
      <c r="F734" s="2">
        <v>1922.52</v>
      </c>
      <c r="G734" s="2">
        <v>449.86</v>
      </c>
      <c r="H734" s="2">
        <v>14</v>
      </c>
      <c r="I734" s="2">
        <f t="shared" si="33"/>
        <v>1472.6599999999999</v>
      </c>
      <c r="J734" s="2" t="str">
        <f t="shared" si="34"/>
        <v>May</v>
      </c>
      <c r="K734" s="9">
        <f t="shared" si="35"/>
        <v>0.76600503505815276</v>
      </c>
    </row>
    <row r="735" spans="1:11" x14ac:dyDescent="0.35">
      <c r="A735" s="2" t="s">
        <v>694</v>
      </c>
      <c r="B735" s="4" t="s">
        <v>107</v>
      </c>
      <c r="C735" s="2" t="s">
        <v>10</v>
      </c>
      <c r="D735" s="2" t="s">
        <v>24</v>
      </c>
      <c r="E735" s="2" t="s">
        <v>21</v>
      </c>
      <c r="F735" s="2">
        <v>46635.06</v>
      </c>
      <c r="G735" s="2">
        <v>11156.41</v>
      </c>
      <c r="H735" s="2">
        <v>2</v>
      </c>
      <c r="I735" s="2">
        <f t="shared" si="33"/>
        <v>35478.649999999994</v>
      </c>
      <c r="J735" s="2" t="str">
        <f t="shared" si="34"/>
        <v>September</v>
      </c>
      <c r="K735" s="9">
        <f t="shared" si="35"/>
        <v>0.76077204575270185</v>
      </c>
    </row>
    <row r="736" spans="1:11" x14ac:dyDescent="0.35">
      <c r="A736" s="2" t="s">
        <v>710</v>
      </c>
      <c r="B736" s="4" t="s">
        <v>476</v>
      </c>
      <c r="C736" s="2" t="s">
        <v>10</v>
      </c>
      <c r="D736" s="2" t="s">
        <v>24</v>
      </c>
      <c r="E736" s="2" t="s">
        <v>21</v>
      </c>
      <c r="F736" s="2">
        <v>6574.85</v>
      </c>
      <c r="G736" s="2">
        <v>501.46</v>
      </c>
      <c r="H736" s="2">
        <v>12</v>
      </c>
      <c r="I736" s="2">
        <f t="shared" si="33"/>
        <v>6073.39</v>
      </c>
      <c r="J736" s="2" t="str">
        <f t="shared" si="34"/>
        <v>September</v>
      </c>
      <c r="K736" s="9">
        <f t="shared" si="35"/>
        <v>0.92373057940485337</v>
      </c>
    </row>
    <row r="737" spans="1:11" x14ac:dyDescent="0.35">
      <c r="A737" s="2" t="s">
        <v>712</v>
      </c>
      <c r="B737" s="4" t="s">
        <v>539</v>
      </c>
      <c r="C737" s="2" t="s">
        <v>31</v>
      </c>
      <c r="D737" s="2" t="s">
        <v>24</v>
      </c>
      <c r="E737" s="2" t="s">
        <v>21</v>
      </c>
      <c r="F737" s="2">
        <v>10658.61</v>
      </c>
      <c r="G737" s="2">
        <v>2339.63</v>
      </c>
      <c r="H737" s="2">
        <v>10</v>
      </c>
      <c r="I737" s="2">
        <f t="shared" si="33"/>
        <v>8318.98</v>
      </c>
      <c r="J737" s="2" t="str">
        <f t="shared" si="34"/>
        <v>September</v>
      </c>
      <c r="K737" s="9">
        <f t="shared" si="35"/>
        <v>0.7804938917926445</v>
      </c>
    </row>
    <row r="738" spans="1:11" x14ac:dyDescent="0.35">
      <c r="A738" s="2" t="s">
        <v>721</v>
      </c>
      <c r="B738" s="4" t="s">
        <v>472</v>
      </c>
      <c r="C738" s="2" t="s">
        <v>15</v>
      </c>
      <c r="D738" s="2" t="s">
        <v>24</v>
      </c>
      <c r="E738" s="2" t="s">
        <v>12</v>
      </c>
      <c r="F738" s="2">
        <v>12161.51</v>
      </c>
      <c r="G738" s="2">
        <v>926.14</v>
      </c>
      <c r="H738" s="2">
        <v>4</v>
      </c>
      <c r="I738" s="2">
        <f t="shared" si="33"/>
        <v>11235.37</v>
      </c>
      <c r="J738" s="2" t="str">
        <f t="shared" si="34"/>
        <v>August</v>
      </c>
      <c r="K738" s="9">
        <f t="shared" si="35"/>
        <v>0.92384662759805325</v>
      </c>
    </row>
    <row r="739" spans="1:11" x14ac:dyDescent="0.35">
      <c r="A739" s="2" t="s">
        <v>725</v>
      </c>
      <c r="B739" s="4" t="s">
        <v>86</v>
      </c>
      <c r="C739" s="2" t="s">
        <v>31</v>
      </c>
      <c r="D739" s="2" t="s">
        <v>24</v>
      </c>
      <c r="E739" s="2" t="s">
        <v>17</v>
      </c>
      <c r="F739" s="2">
        <v>35238.61</v>
      </c>
      <c r="G739" s="2">
        <v>3080.3</v>
      </c>
      <c r="H739" s="2">
        <v>19</v>
      </c>
      <c r="I739" s="2">
        <f t="shared" si="33"/>
        <v>32158.31</v>
      </c>
      <c r="J739" s="2" t="str">
        <f t="shared" si="34"/>
        <v>August</v>
      </c>
      <c r="K739" s="9">
        <f t="shared" si="35"/>
        <v>0.91258735801440527</v>
      </c>
    </row>
    <row r="740" spans="1:11" x14ac:dyDescent="0.35">
      <c r="A740" s="2" t="s">
        <v>728</v>
      </c>
      <c r="B740" s="4" t="s">
        <v>101</v>
      </c>
      <c r="C740" s="2" t="s">
        <v>31</v>
      </c>
      <c r="D740" s="2" t="s">
        <v>24</v>
      </c>
      <c r="E740" s="2" t="s">
        <v>21</v>
      </c>
      <c r="F740" s="2">
        <v>29185.97</v>
      </c>
      <c r="G740" s="2">
        <v>6103.81</v>
      </c>
      <c r="H740" s="2">
        <v>6</v>
      </c>
      <c r="I740" s="2">
        <f t="shared" si="33"/>
        <v>23082.16</v>
      </c>
      <c r="J740" s="2" t="str">
        <f t="shared" si="34"/>
        <v>January</v>
      </c>
      <c r="K740" s="9">
        <f t="shared" si="35"/>
        <v>0.79086492585307255</v>
      </c>
    </row>
    <row r="741" spans="1:11" x14ac:dyDescent="0.35">
      <c r="A741" s="2" t="s">
        <v>729</v>
      </c>
      <c r="B741" s="4" t="s">
        <v>23</v>
      </c>
      <c r="C741" s="2" t="s">
        <v>10</v>
      </c>
      <c r="D741" s="2" t="s">
        <v>24</v>
      </c>
      <c r="E741" s="2" t="s">
        <v>21</v>
      </c>
      <c r="F741" s="2">
        <v>991.55</v>
      </c>
      <c r="G741" s="2">
        <v>269.88</v>
      </c>
      <c r="H741" s="2">
        <v>12</v>
      </c>
      <c r="I741" s="2">
        <f t="shared" si="33"/>
        <v>721.67</v>
      </c>
      <c r="J741" s="2" t="str">
        <f t="shared" si="34"/>
        <v>July</v>
      </c>
      <c r="K741" s="9">
        <f t="shared" si="35"/>
        <v>0.72782007967323881</v>
      </c>
    </row>
    <row r="742" spans="1:11" x14ac:dyDescent="0.35">
      <c r="A742" s="2" t="s">
        <v>736</v>
      </c>
      <c r="B742" s="4" t="s">
        <v>97</v>
      </c>
      <c r="C742" s="2" t="s">
        <v>15</v>
      </c>
      <c r="D742" s="2" t="s">
        <v>24</v>
      </c>
      <c r="E742" s="2" t="s">
        <v>21</v>
      </c>
      <c r="F742" s="2">
        <v>24946.720000000001</v>
      </c>
      <c r="G742" s="2">
        <v>4826.34</v>
      </c>
      <c r="H742" s="2">
        <v>3</v>
      </c>
      <c r="I742" s="2">
        <f t="shared" si="33"/>
        <v>20120.38</v>
      </c>
      <c r="J742" s="2" t="str">
        <f t="shared" si="34"/>
        <v>October</v>
      </c>
      <c r="K742" s="9">
        <f t="shared" si="35"/>
        <v>0.80653408544289595</v>
      </c>
    </row>
    <row r="743" spans="1:11" x14ac:dyDescent="0.35">
      <c r="A743" s="2" t="s">
        <v>737</v>
      </c>
      <c r="B743" s="4" t="s">
        <v>262</v>
      </c>
      <c r="C743" s="2" t="s">
        <v>27</v>
      </c>
      <c r="D743" s="2" t="s">
        <v>24</v>
      </c>
      <c r="E743" s="2" t="s">
        <v>12</v>
      </c>
      <c r="F743" s="2">
        <v>23493.49</v>
      </c>
      <c r="G743" s="2">
        <v>3312.86</v>
      </c>
      <c r="H743" s="2">
        <v>17</v>
      </c>
      <c r="I743" s="2">
        <f t="shared" si="33"/>
        <v>20180.63</v>
      </c>
      <c r="J743" s="2" t="str">
        <f t="shared" si="34"/>
        <v>June</v>
      </c>
      <c r="K743" s="9">
        <f t="shared" si="35"/>
        <v>0.85898817076560352</v>
      </c>
    </row>
    <row r="744" spans="1:11" x14ac:dyDescent="0.35">
      <c r="A744" s="2" t="s">
        <v>738</v>
      </c>
      <c r="B744" s="4" t="s">
        <v>327</v>
      </c>
      <c r="C744" s="2" t="s">
        <v>10</v>
      </c>
      <c r="D744" s="2" t="s">
        <v>24</v>
      </c>
      <c r="E744" s="2" t="s">
        <v>17</v>
      </c>
      <c r="F744" s="2">
        <v>39325.31</v>
      </c>
      <c r="G744" s="2">
        <v>4082.99</v>
      </c>
      <c r="H744" s="2">
        <v>14</v>
      </c>
      <c r="I744" s="2">
        <f t="shared" si="33"/>
        <v>35242.32</v>
      </c>
      <c r="J744" s="2" t="str">
        <f t="shared" si="34"/>
        <v>November</v>
      </c>
      <c r="K744" s="9">
        <f t="shared" si="35"/>
        <v>0.89617399074540038</v>
      </c>
    </row>
    <row r="745" spans="1:11" x14ac:dyDescent="0.35">
      <c r="A745" s="2" t="s">
        <v>739</v>
      </c>
      <c r="B745" s="4" t="s">
        <v>740</v>
      </c>
      <c r="C745" s="2" t="s">
        <v>27</v>
      </c>
      <c r="D745" s="2" t="s">
        <v>24</v>
      </c>
      <c r="E745" s="2" t="s">
        <v>12</v>
      </c>
      <c r="F745" s="2">
        <v>26704.78</v>
      </c>
      <c r="G745" s="2">
        <v>4905.12</v>
      </c>
      <c r="H745" s="2">
        <v>17</v>
      </c>
      <c r="I745" s="2">
        <f t="shared" si="33"/>
        <v>21799.66</v>
      </c>
      <c r="J745" s="2" t="str">
        <f t="shared" si="34"/>
        <v>April</v>
      </c>
      <c r="K745" s="9">
        <f t="shared" si="35"/>
        <v>0.81632052389122844</v>
      </c>
    </row>
    <row r="746" spans="1:11" x14ac:dyDescent="0.35">
      <c r="A746" s="2" t="s">
        <v>741</v>
      </c>
      <c r="B746" s="4" t="s">
        <v>742</v>
      </c>
      <c r="C746" s="2" t="s">
        <v>27</v>
      </c>
      <c r="D746" s="2" t="s">
        <v>24</v>
      </c>
      <c r="E746" s="2" t="s">
        <v>12</v>
      </c>
      <c r="F746" s="2">
        <v>6859.92</v>
      </c>
      <c r="G746" s="2">
        <v>930.59</v>
      </c>
      <c r="H746" s="2">
        <v>10</v>
      </c>
      <c r="I746" s="2">
        <f t="shared" si="33"/>
        <v>5929.33</v>
      </c>
      <c r="J746" s="2" t="str">
        <f t="shared" si="34"/>
        <v>May</v>
      </c>
      <c r="K746" s="9">
        <f t="shared" si="35"/>
        <v>0.86434389905421638</v>
      </c>
    </row>
    <row r="747" spans="1:11" x14ac:dyDescent="0.35">
      <c r="A747" s="2" t="s">
        <v>743</v>
      </c>
      <c r="B747" s="4" t="s">
        <v>696</v>
      </c>
      <c r="C747" s="2" t="s">
        <v>10</v>
      </c>
      <c r="D747" s="2" t="s">
        <v>24</v>
      </c>
      <c r="E747" s="2" t="s">
        <v>17</v>
      </c>
      <c r="F747" s="2">
        <v>4691.7299999999996</v>
      </c>
      <c r="G747" s="2">
        <v>997.65</v>
      </c>
      <c r="H747" s="2">
        <v>16</v>
      </c>
      <c r="I747" s="2">
        <f t="shared" si="33"/>
        <v>3694.0799999999995</v>
      </c>
      <c r="J747" s="2" t="str">
        <f t="shared" si="34"/>
        <v>May</v>
      </c>
      <c r="K747" s="9">
        <f t="shared" si="35"/>
        <v>0.78735988643847787</v>
      </c>
    </row>
    <row r="748" spans="1:11" x14ac:dyDescent="0.35">
      <c r="A748" s="2" t="s">
        <v>753</v>
      </c>
      <c r="B748" s="4" t="s">
        <v>754</v>
      </c>
      <c r="C748" s="2" t="s">
        <v>10</v>
      </c>
      <c r="D748" s="2" t="s">
        <v>24</v>
      </c>
      <c r="E748" s="2" t="s">
        <v>17</v>
      </c>
      <c r="F748" s="2">
        <v>2433.7399999999998</v>
      </c>
      <c r="G748" s="2">
        <v>365.49</v>
      </c>
      <c r="H748" s="2">
        <v>8</v>
      </c>
      <c r="I748" s="2">
        <f t="shared" si="33"/>
        <v>2068.25</v>
      </c>
      <c r="J748" s="2" t="str">
        <f t="shared" si="34"/>
        <v>May</v>
      </c>
      <c r="K748" s="9">
        <f t="shared" si="35"/>
        <v>0.84982372808927831</v>
      </c>
    </row>
    <row r="749" spans="1:11" x14ac:dyDescent="0.35">
      <c r="A749" s="2" t="s">
        <v>757</v>
      </c>
      <c r="B749" s="4" t="s">
        <v>758</v>
      </c>
      <c r="C749" s="2" t="s">
        <v>27</v>
      </c>
      <c r="D749" s="2" t="s">
        <v>24</v>
      </c>
      <c r="E749" s="2" t="s">
        <v>21</v>
      </c>
      <c r="F749" s="2">
        <v>18199.03</v>
      </c>
      <c r="G749" s="2">
        <v>4294.8999999999996</v>
      </c>
      <c r="H749" s="2">
        <v>11</v>
      </c>
      <c r="I749" s="2">
        <f t="shared" si="33"/>
        <v>13904.13</v>
      </c>
      <c r="J749" s="2" t="str">
        <f t="shared" si="34"/>
        <v>July</v>
      </c>
      <c r="K749" s="9">
        <f t="shared" si="35"/>
        <v>0.76400390570266663</v>
      </c>
    </row>
    <row r="750" spans="1:11" x14ac:dyDescent="0.35">
      <c r="A750" s="2" t="s">
        <v>760</v>
      </c>
      <c r="B750" s="4" t="s">
        <v>761</v>
      </c>
      <c r="C750" s="2" t="s">
        <v>10</v>
      </c>
      <c r="D750" s="2" t="s">
        <v>24</v>
      </c>
      <c r="E750" s="2" t="s">
        <v>12</v>
      </c>
      <c r="F750" s="2">
        <v>40487.519999999997</v>
      </c>
      <c r="G750" s="2">
        <v>10964.74</v>
      </c>
      <c r="H750" s="2">
        <v>6</v>
      </c>
      <c r="I750" s="2">
        <f t="shared" si="33"/>
        <v>29522.78</v>
      </c>
      <c r="J750" s="2" t="str">
        <f t="shared" si="34"/>
        <v>July</v>
      </c>
      <c r="K750" s="9">
        <f t="shared" si="35"/>
        <v>0.72918222701711544</v>
      </c>
    </row>
    <row r="751" spans="1:11" x14ac:dyDescent="0.35">
      <c r="A751" s="2" t="s">
        <v>769</v>
      </c>
      <c r="B751" s="4" t="s">
        <v>337</v>
      </c>
      <c r="C751" s="2" t="s">
        <v>10</v>
      </c>
      <c r="D751" s="2" t="s">
        <v>24</v>
      </c>
      <c r="E751" s="2" t="s">
        <v>17</v>
      </c>
      <c r="F751" s="2">
        <v>10858.98</v>
      </c>
      <c r="G751" s="2">
        <v>2728.4</v>
      </c>
      <c r="H751" s="2">
        <v>12</v>
      </c>
      <c r="I751" s="2">
        <f t="shared" si="33"/>
        <v>8130.58</v>
      </c>
      <c r="J751" s="2" t="str">
        <f t="shared" si="34"/>
        <v>February</v>
      </c>
      <c r="K751" s="9">
        <f t="shared" si="35"/>
        <v>0.74874251541120806</v>
      </c>
    </row>
    <row r="752" spans="1:11" x14ac:dyDescent="0.35">
      <c r="A752" s="2" t="s">
        <v>791</v>
      </c>
      <c r="B752" s="4" t="s">
        <v>749</v>
      </c>
      <c r="C752" s="2" t="s">
        <v>10</v>
      </c>
      <c r="D752" s="2" t="s">
        <v>24</v>
      </c>
      <c r="E752" s="2" t="s">
        <v>17</v>
      </c>
      <c r="F752" s="2">
        <v>38223.26</v>
      </c>
      <c r="G752" s="2">
        <v>5976.19</v>
      </c>
      <c r="H752" s="2">
        <v>13</v>
      </c>
      <c r="I752" s="2">
        <f t="shared" si="33"/>
        <v>32247.070000000003</v>
      </c>
      <c r="J752" s="2" t="str">
        <f t="shared" si="34"/>
        <v>February</v>
      </c>
      <c r="K752" s="9">
        <f t="shared" si="35"/>
        <v>0.8436504369329042</v>
      </c>
    </row>
    <row r="753" spans="1:11" x14ac:dyDescent="0.35">
      <c r="A753" s="2" t="s">
        <v>794</v>
      </c>
      <c r="B753" s="4" t="s">
        <v>78</v>
      </c>
      <c r="C753" s="2" t="s">
        <v>15</v>
      </c>
      <c r="D753" s="2" t="s">
        <v>24</v>
      </c>
      <c r="E753" s="2" t="s">
        <v>12</v>
      </c>
      <c r="F753" s="2">
        <v>2932.33</v>
      </c>
      <c r="G753" s="2">
        <v>508.24</v>
      </c>
      <c r="H753" s="2">
        <v>8</v>
      </c>
      <c r="I753" s="2">
        <f t="shared" si="33"/>
        <v>2424.09</v>
      </c>
      <c r="J753" s="2" t="str">
        <f t="shared" si="34"/>
        <v>August</v>
      </c>
      <c r="K753" s="9">
        <f t="shared" si="35"/>
        <v>0.82667707931917633</v>
      </c>
    </row>
    <row r="754" spans="1:11" x14ac:dyDescent="0.35">
      <c r="A754" s="2" t="s">
        <v>797</v>
      </c>
      <c r="B754" s="4" t="s">
        <v>321</v>
      </c>
      <c r="C754" s="2" t="s">
        <v>10</v>
      </c>
      <c r="D754" s="2" t="s">
        <v>24</v>
      </c>
      <c r="E754" s="2" t="s">
        <v>21</v>
      </c>
      <c r="F754" s="2">
        <v>26625.040000000001</v>
      </c>
      <c r="G754" s="2">
        <v>7855.52</v>
      </c>
      <c r="H754" s="2">
        <v>18</v>
      </c>
      <c r="I754" s="2">
        <f t="shared" si="33"/>
        <v>18769.52</v>
      </c>
      <c r="J754" s="2" t="str">
        <f t="shared" si="34"/>
        <v>September</v>
      </c>
      <c r="K754" s="9">
        <f t="shared" si="35"/>
        <v>0.70495743856159465</v>
      </c>
    </row>
    <row r="755" spans="1:11" x14ac:dyDescent="0.35">
      <c r="A755" s="2" t="s">
        <v>799</v>
      </c>
      <c r="B755" s="4" t="s">
        <v>800</v>
      </c>
      <c r="C755" s="2" t="s">
        <v>15</v>
      </c>
      <c r="D755" s="2" t="s">
        <v>24</v>
      </c>
      <c r="E755" s="2" t="s">
        <v>17</v>
      </c>
      <c r="F755" s="2">
        <v>14682.67</v>
      </c>
      <c r="G755" s="2">
        <v>2789.78</v>
      </c>
      <c r="H755" s="2">
        <v>11</v>
      </c>
      <c r="I755" s="2">
        <f t="shared" si="33"/>
        <v>11892.89</v>
      </c>
      <c r="J755" s="2" t="str">
        <f t="shared" si="34"/>
        <v>April</v>
      </c>
      <c r="K755" s="9">
        <f t="shared" si="35"/>
        <v>0.80999504858448768</v>
      </c>
    </row>
    <row r="756" spans="1:11" x14ac:dyDescent="0.35">
      <c r="A756" s="2" t="s">
        <v>806</v>
      </c>
      <c r="B756" s="4" t="s">
        <v>372</v>
      </c>
      <c r="C756" s="2" t="s">
        <v>27</v>
      </c>
      <c r="D756" s="2" t="s">
        <v>24</v>
      </c>
      <c r="E756" s="2" t="s">
        <v>12</v>
      </c>
      <c r="F756" s="2">
        <v>15005.54</v>
      </c>
      <c r="G756" s="2">
        <v>3662.89</v>
      </c>
      <c r="H756" s="2">
        <v>19</v>
      </c>
      <c r="I756" s="2">
        <f t="shared" si="33"/>
        <v>11342.650000000001</v>
      </c>
      <c r="J756" s="2" t="str">
        <f t="shared" si="34"/>
        <v>August</v>
      </c>
      <c r="K756" s="9">
        <f t="shared" si="35"/>
        <v>0.75589748852757055</v>
      </c>
    </row>
    <row r="757" spans="1:11" x14ac:dyDescent="0.35">
      <c r="A757" s="2" t="s">
        <v>810</v>
      </c>
      <c r="B757" s="4" t="s">
        <v>36</v>
      </c>
      <c r="C757" s="2" t="s">
        <v>27</v>
      </c>
      <c r="D757" s="2" t="s">
        <v>24</v>
      </c>
      <c r="E757" s="2" t="s">
        <v>12</v>
      </c>
      <c r="F757" s="2">
        <v>33862.36</v>
      </c>
      <c r="G757" s="2">
        <v>7643.77</v>
      </c>
      <c r="H757" s="2">
        <v>7</v>
      </c>
      <c r="I757" s="2">
        <f t="shared" si="33"/>
        <v>26218.59</v>
      </c>
      <c r="J757" s="2" t="str">
        <f t="shared" si="34"/>
        <v>November</v>
      </c>
      <c r="K757" s="9">
        <f t="shared" si="35"/>
        <v>0.7742694248126829</v>
      </c>
    </row>
    <row r="758" spans="1:11" x14ac:dyDescent="0.35">
      <c r="A758" s="2" t="s">
        <v>821</v>
      </c>
      <c r="B758" s="4" t="s">
        <v>822</v>
      </c>
      <c r="C758" s="2" t="s">
        <v>15</v>
      </c>
      <c r="D758" s="2" t="s">
        <v>24</v>
      </c>
      <c r="E758" s="2" t="s">
        <v>21</v>
      </c>
      <c r="F758" s="2">
        <v>38053.75</v>
      </c>
      <c r="G758" s="2">
        <v>6140.56</v>
      </c>
      <c r="H758" s="2">
        <v>3</v>
      </c>
      <c r="I758" s="2">
        <f t="shared" si="33"/>
        <v>31913.19</v>
      </c>
      <c r="J758" s="2" t="str">
        <f t="shared" si="34"/>
        <v>December</v>
      </c>
      <c r="K758" s="9">
        <f t="shared" si="35"/>
        <v>0.83863456295371674</v>
      </c>
    </row>
    <row r="759" spans="1:11" x14ac:dyDescent="0.35">
      <c r="A759" s="2" t="s">
        <v>833</v>
      </c>
      <c r="B759" s="4" t="s">
        <v>297</v>
      </c>
      <c r="C759" s="2" t="s">
        <v>27</v>
      </c>
      <c r="D759" s="2" t="s">
        <v>24</v>
      </c>
      <c r="E759" s="2" t="s">
        <v>12</v>
      </c>
      <c r="F759" s="2">
        <v>40581.07</v>
      </c>
      <c r="G759" s="2">
        <v>2598.33</v>
      </c>
      <c r="H759" s="2">
        <v>1</v>
      </c>
      <c r="I759" s="2">
        <f t="shared" si="33"/>
        <v>37982.74</v>
      </c>
      <c r="J759" s="2" t="str">
        <f t="shared" si="34"/>
        <v>October</v>
      </c>
      <c r="K759" s="9">
        <f t="shared" si="35"/>
        <v>0.93597187062834963</v>
      </c>
    </row>
    <row r="760" spans="1:11" x14ac:dyDescent="0.35">
      <c r="A760" s="2" t="s">
        <v>834</v>
      </c>
      <c r="B760" s="4" t="s">
        <v>72</v>
      </c>
      <c r="C760" s="2" t="s">
        <v>10</v>
      </c>
      <c r="D760" s="2" t="s">
        <v>24</v>
      </c>
      <c r="E760" s="2" t="s">
        <v>12</v>
      </c>
      <c r="F760" s="2">
        <v>37960.730000000003</v>
      </c>
      <c r="G760" s="2">
        <v>1974.48</v>
      </c>
      <c r="H760" s="2">
        <v>16</v>
      </c>
      <c r="I760" s="2">
        <f t="shared" si="33"/>
        <v>35986.25</v>
      </c>
      <c r="J760" s="2" t="str">
        <f t="shared" si="34"/>
        <v>March</v>
      </c>
      <c r="K760" s="9">
        <f t="shared" si="35"/>
        <v>0.9479862478935468</v>
      </c>
    </row>
    <row r="761" spans="1:11" x14ac:dyDescent="0.35">
      <c r="A761" s="2" t="s">
        <v>840</v>
      </c>
      <c r="B761" s="4" t="s">
        <v>265</v>
      </c>
      <c r="C761" s="2" t="s">
        <v>15</v>
      </c>
      <c r="D761" s="2" t="s">
        <v>24</v>
      </c>
      <c r="E761" s="2" t="s">
        <v>12</v>
      </c>
      <c r="F761" s="2">
        <v>23735.599999999999</v>
      </c>
      <c r="G761" s="2">
        <v>3187.51</v>
      </c>
      <c r="H761" s="2">
        <v>10</v>
      </c>
      <c r="I761" s="2">
        <f t="shared" si="33"/>
        <v>20548.089999999997</v>
      </c>
      <c r="J761" s="2" t="str">
        <f t="shared" si="34"/>
        <v>October</v>
      </c>
      <c r="K761" s="9">
        <f t="shared" si="35"/>
        <v>0.86570762904666398</v>
      </c>
    </row>
    <row r="762" spans="1:11" x14ac:dyDescent="0.35">
      <c r="A762" s="2" t="s">
        <v>844</v>
      </c>
      <c r="B762" s="4" t="s">
        <v>437</v>
      </c>
      <c r="C762" s="2" t="s">
        <v>15</v>
      </c>
      <c r="D762" s="2" t="s">
        <v>24</v>
      </c>
      <c r="E762" s="2" t="s">
        <v>17</v>
      </c>
      <c r="F762" s="2">
        <v>23315.15</v>
      </c>
      <c r="G762" s="2">
        <v>4914.6499999999996</v>
      </c>
      <c r="H762" s="2">
        <v>1</v>
      </c>
      <c r="I762" s="2">
        <f t="shared" si="33"/>
        <v>18400.5</v>
      </c>
      <c r="J762" s="2" t="str">
        <f t="shared" si="34"/>
        <v>October</v>
      </c>
      <c r="K762" s="9">
        <f t="shared" si="35"/>
        <v>0.78920787556588734</v>
      </c>
    </row>
    <row r="763" spans="1:11" x14ac:dyDescent="0.35">
      <c r="A763" s="2" t="s">
        <v>854</v>
      </c>
      <c r="B763" s="4" t="s">
        <v>442</v>
      </c>
      <c r="C763" s="2" t="s">
        <v>31</v>
      </c>
      <c r="D763" s="2" t="s">
        <v>24</v>
      </c>
      <c r="E763" s="2" t="s">
        <v>12</v>
      </c>
      <c r="F763" s="2">
        <v>29275.99</v>
      </c>
      <c r="G763" s="2">
        <v>2516.21</v>
      </c>
      <c r="H763" s="2">
        <v>20</v>
      </c>
      <c r="I763" s="2">
        <f t="shared" si="33"/>
        <v>26759.780000000002</v>
      </c>
      <c r="J763" s="2" t="str">
        <f t="shared" si="34"/>
        <v>October</v>
      </c>
      <c r="K763" s="9">
        <f t="shared" si="35"/>
        <v>0.91405209524938358</v>
      </c>
    </row>
    <row r="764" spans="1:11" x14ac:dyDescent="0.35">
      <c r="A764" s="2" t="s">
        <v>867</v>
      </c>
      <c r="B764" s="4" t="s">
        <v>479</v>
      </c>
      <c r="C764" s="2" t="s">
        <v>27</v>
      </c>
      <c r="D764" s="2" t="s">
        <v>24</v>
      </c>
      <c r="E764" s="2" t="s">
        <v>12</v>
      </c>
      <c r="F764" s="2">
        <v>23165.4</v>
      </c>
      <c r="G764" s="2">
        <v>3066.37</v>
      </c>
      <c r="H764" s="2">
        <v>4</v>
      </c>
      <c r="I764" s="2">
        <f t="shared" si="33"/>
        <v>20099.030000000002</v>
      </c>
      <c r="J764" s="2" t="str">
        <f t="shared" si="34"/>
        <v>December</v>
      </c>
      <c r="K764" s="9">
        <f t="shared" si="35"/>
        <v>0.86763146761981236</v>
      </c>
    </row>
    <row r="765" spans="1:11" x14ac:dyDescent="0.35">
      <c r="A765" s="2" t="s">
        <v>870</v>
      </c>
      <c r="B765" s="4" t="s">
        <v>346</v>
      </c>
      <c r="C765" s="2" t="s">
        <v>31</v>
      </c>
      <c r="D765" s="2" t="s">
        <v>24</v>
      </c>
      <c r="E765" s="2" t="s">
        <v>12</v>
      </c>
      <c r="F765" s="2">
        <v>14539.63</v>
      </c>
      <c r="G765" s="2">
        <v>3676</v>
      </c>
      <c r="H765" s="2">
        <v>7</v>
      </c>
      <c r="I765" s="2">
        <f t="shared" si="33"/>
        <v>10863.63</v>
      </c>
      <c r="J765" s="2" t="str">
        <f t="shared" si="34"/>
        <v>December</v>
      </c>
      <c r="K765" s="9">
        <f t="shared" si="35"/>
        <v>0.74717375889207638</v>
      </c>
    </row>
    <row r="766" spans="1:11" x14ac:dyDescent="0.35">
      <c r="A766" s="2" t="s">
        <v>871</v>
      </c>
      <c r="B766" s="4" t="s">
        <v>437</v>
      </c>
      <c r="C766" s="2" t="s">
        <v>15</v>
      </c>
      <c r="D766" s="2" t="s">
        <v>24</v>
      </c>
      <c r="E766" s="2" t="s">
        <v>17</v>
      </c>
      <c r="F766" s="2">
        <v>11555.25</v>
      </c>
      <c r="G766" s="2">
        <v>2524.13</v>
      </c>
      <c r="H766" s="2">
        <v>9</v>
      </c>
      <c r="I766" s="2">
        <f t="shared" si="33"/>
        <v>9031.119999999999</v>
      </c>
      <c r="J766" s="2" t="str">
        <f t="shared" si="34"/>
        <v>October</v>
      </c>
      <c r="K766" s="9">
        <f t="shared" si="35"/>
        <v>0.78155989701650752</v>
      </c>
    </row>
    <row r="767" spans="1:11" x14ac:dyDescent="0.35">
      <c r="A767" s="2" t="s">
        <v>890</v>
      </c>
      <c r="B767" s="4" t="s">
        <v>494</v>
      </c>
      <c r="C767" s="2" t="s">
        <v>10</v>
      </c>
      <c r="D767" s="2" t="s">
        <v>24</v>
      </c>
      <c r="E767" s="2" t="s">
        <v>17</v>
      </c>
      <c r="F767" s="2">
        <v>9697.74</v>
      </c>
      <c r="G767" s="2">
        <v>1592.57</v>
      </c>
      <c r="H767" s="2">
        <v>11</v>
      </c>
      <c r="I767" s="2">
        <f t="shared" si="33"/>
        <v>8105.17</v>
      </c>
      <c r="J767" s="2" t="str">
        <f t="shared" si="34"/>
        <v>September</v>
      </c>
      <c r="K767" s="9">
        <f t="shared" si="35"/>
        <v>0.83577926403471325</v>
      </c>
    </row>
    <row r="768" spans="1:11" x14ac:dyDescent="0.35">
      <c r="A768" s="2" t="s">
        <v>892</v>
      </c>
      <c r="B768" s="4" t="s">
        <v>599</v>
      </c>
      <c r="C768" s="2" t="s">
        <v>10</v>
      </c>
      <c r="D768" s="2" t="s">
        <v>24</v>
      </c>
      <c r="E768" s="2" t="s">
        <v>21</v>
      </c>
      <c r="F768" s="2">
        <v>19556.34</v>
      </c>
      <c r="G768" s="2">
        <v>5466.3</v>
      </c>
      <c r="H768" s="2">
        <v>5</v>
      </c>
      <c r="I768" s="2">
        <f t="shared" si="33"/>
        <v>14090.04</v>
      </c>
      <c r="J768" s="2" t="str">
        <f t="shared" si="34"/>
        <v>May</v>
      </c>
      <c r="K768" s="9">
        <f t="shared" si="35"/>
        <v>0.72048450783735607</v>
      </c>
    </row>
    <row r="769" spans="1:11" x14ac:dyDescent="0.35">
      <c r="A769" s="2" t="s">
        <v>899</v>
      </c>
      <c r="B769" s="4" t="s">
        <v>265</v>
      </c>
      <c r="C769" s="2" t="s">
        <v>15</v>
      </c>
      <c r="D769" s="2" t="s">
        <v>24</v>
      </c>
      <c r="E769" s="2" t="s">
        <v>12</v>
      </c>
      <c r="F769" s="2">
        <v>2775.22</v>
      </c>
      <c r="G769" s="2">
        <v>339.74</v>
      </c>
      <c r="H769" s="2">
        <v>8</v>
      </c>
      <c r="I769" s="2">
        <f t="shared" si="33"/>
        <v>2435.4799999999996</v>
      </c>
      <c r="J769" s="2" t="str">
        <f t="shared" si="34"/>
        <v>October</v>
      </c>
      <c r="K769" s="9">
        <f t="shared" si="35"/>
        <v>0.87758087647105443</v>
      </c>
    </row>
    <row r="770" spans="1:11" x14ac:dyDescent="0.35">
      <c r="A770" s="2" t="s">
        <v>903</v>
      </c>
      <c r="B770" s="4" t="s">
        <v>517</v>
      </c>
      <c r="C770" s="2" t="s">
        <v>10</v>
      </c>
      <c r="D770" s="2" t="s">
        <v>24</v>
      </c>
      <c r="E770" s="2" t="s">
        <v>12</v>
      </c>
      <c r="F770" s="2">
        <v>26525.87</v>
      </c>
      <c r="G770" s="2">
        <v>7545.19</v>
      </c>
      <c r="H770" s="2">
        <v>10</v>
      </c>
      <c r="I770" s="2">
        <f t="shared" ref="I770:I833" si="36">(F770-G770)</f>
        <v>18980.68</v>
      </c>
      <c r="J770" s="2" t="str">
        <f t="shared" ref="J770:J833" si="37">TEXT(B770,"mmmm")</f>
        <v>January</v>
      </c>
      <c r="K770" s="9">
        <f t="shared" ref="K770:K833" si="38">(F770-G770)/F770</f>
        <v>0.71555353321116333</v>
      </c>
    </row>
    <row r="771" spans="1:11" x14ac:dyDescent="0.35">
      <c r="A771" s="2" t="s">
        <v>904</v>
      </c>
      <c r="B771" s="4" t="s">
        <v>144</v>
      </c>
      <c r="C771" s="2" t="s">
        <v>31</v>
      </c>
      <c r="D771" s="2" t="s">
        <v>24</v>
      </c>
      <c r="E771" s="2" t="s">
        <v>12</v>
      </c>
      <c r="F771" s="2">
        <v>5086.8900000000003</v>
      </c>
      <c r="G771" s="2">
        <v>452.45</v>
      </c>
      <c r="H771" s="2">
        <v>7</v>
      </c>
      <c r="I771" s="2">
        <f t="shared" si="36"/>
        <v>4634.4400000000005</v>
      </c>
      <c r="J771" s="2" t="str">
        <f t="shared" si="37"/>
        <v>August</v>
      </c>
      <c r="K771" s="9">
        <f t="shared" si="38"/>
        <v>0.91105567448873481</v>
      </c>
    </row>
    <row r="772" spans="1:11" x14ac:dyDescent="0.35">
      <c r="A772" s="2" t="s">
        <v>908</v>
      </c>
      <c r="B772" s="4" t="s">
        <v>217</v>
      </c>
      <c r="C772" s="2" t="s">
        <v>15</v>
      </c>
      <c r="D772" s="2" t="s">
        <v>24</v>
      </c>
      <c r="E772" s="2" t="s">
        <v>17</v>
      </c>
      <c r="F772" s="2">
        <v>27665.360000000001</v>
      </c>
      <c r="G772" s="2">
        <v>2278.42</v>
      </c>
      <c r="H772" s="2">
        <v>18</v>
      </c>
      <c r="I772" s="2">
        <f t="shared" si="36"/>
        <v>25386.940000000002</v>
      </c>
      <c r="J772" s="2" t="str">
        <f t="shared" si="37"/>
        <v>July</v>
      </c>
      <c r="K772" s="9">
        <f t="shared" si="38"/>
        <v>0.91764358027511672</v>
      </c>
    </row>
    <row r="773" spans="1:11" x14ac:dyDescent="0.35">
      <c r="A773" s="2" t="s">
        <v>914</v>
      </c>
      <c r="B773" s="4" t="s">
        <v>40</v>
      </c>
      <c r="C773" s="2" t="s">
        <v>31</v>
      </c>
      <c r="D773" s="2" t="s">
        <v>24</v>
      </c>
      <c r="E773" s="2" t="s">
        <v>21</v>
      </c>
      <c r="F773" s="2">
        <v>37834.660000000003</v>
      </c>
      <c r="G773" s="2">
        <v>9661.7800000000007</v>
      </c>
      <c r="H773" s="2">
        <v>19</v>
      </c>
      <c r="I773" s="2">
        <f t="shared" si="36"/>
        <v>28172.880000000005</v>
      </c>
      <c r="J773" s="2" t="str">
        <f t="shared" si="37"/>
        <v>January</v>
      </c>
      <c r="K773" s="9">
        <f t="shared" si="38"/>
        <v>0.74463150983780491</v>
      </c>
    </row>
    <row r="774" spans="1:11" x14ac:dyDescent="0.35">
      <c r="A774" s="2" t="s">
        <v>916</v>
      </c>
      <c r="B774" s="4" t="s">
        <v>803</v>
      </c>
      <c r="C774" s="2" t="s">
        <v>27</v>
      </c>
      <c r="D774" s="2" t="s">
        <v>24</v>
      </c>
      <c r="E774" s="2" t="s">
        <v>17</v>
      </c>
      <c r="F774" s="2">
        <v>17618.89</v>
      </c>
      <c r="G774" s="2">
        <v>2004.91</v>
      </c>
      <c r="H774" s="2">
        <v>6</v>
      </c>
      <c r="I774" s="2">
        <f t="shared" si="36"/>
        <v>15613.98</v>
      </c>
      <c r="J774" s="2" t="str">
        <f t="shared" si="37"/>
        <v>June</v>
      </c>
      <c r="K774" s="9">
        <f t="shared" si="38"/>
        <v>0.88620679282293036</v>
      </c>
    </row>
    <row r="775" spans="1:11" x14ac:dyDescent="0.35">
      <c r="A775" s="2" t="s">
        <v>920</v>
      </c>
      <c r="B775" s="4" t="s">
        <v>921</v>
      </c>
      <c r="C775" s="2" t="s">
        <v>27</v>
      </c>
      <c r="D775" s="2" t="s">
        <v>24</v>
      </c>
      <c r="E775" s="2" t="s">
        <v>17</v>
      </c>
      <c r="F775" s="2">
        <v>16928.919999999998</v>
      </c>
      <c r="G775" s="2">
        <v>2508.71</v>
      </c>
      <c r="H775" s="2">
        <v>15</v>
      </c>
      <c r="I775" s="2">
        <f t="shared" si="36"/>
        <v>14420.21</v>
      </c>
      <c r="J775" s="2" t="str">
        <f t="shared" si="37"/>
        <v>March</v>
      </c>
      <c r="K775" s="9">
        <f t="shared" si="38"/>
        <v>0.85180921169218127</v>
      </c>
    </row>
    <row r="776" spans="1:11" x14ac:dyDescent="0.35">
      <c r="A776" s="2" t="s">
        <v>922</v>
      </c>
      <c r="B776" s="4" t="s">
        <v>693</v>
      </c>
      <c r="C776" s="2" t="s">
        <v>15</v>
      </c>
      <c r="D776" s="2" t="s">
        <v>24</v>
      </c>
      <c r="E776" s="2" t="s">
        <v>21</v>
      </c>
      <c r="F776" s="2">
        <v>17480.53</v>
      </c>
      <c r="G776" s="2">
        <v>2615.0500000000002</v>
      </c>
      <c r="H776" s="2">
        <v>14</v>
      </c>
      <c r="I776" s="2">
        <f t="shared" si="36"/>
        <v>14865.48</v>
      </c>
      <c r="J776" s="2" t="str">
        <f t="shared" si="37"/>
        <v>November</v>
      </c>
      <c r="K776" s="9">
        <f t="shared" si="38"/>
        <v>0.85040213311610124</v>
      </c>
    </row>
    <row r="777" spans="1:11" x14ac:dyDescent="0.35">
      <c r="A777" s="2" t="s">
        <v>933</v>
      </c>
      <c r="B777" s="4" t="s">
        <v>174</v>
      </c>
      <c r="C777" s="2" t="s">
        <v>27</v>
      </c>
      <c r="D777" s="2" t="s">
        <v>24</v>
      </c>
      <c r="E777" s="2" t="s">
        <v>17</v>
      </c>
      <c r="F777" s="2">
        <v>35524.25</v>
      </c>
      <c r="G777" s="2">
        <v>1884.41</v>
      </c>
      <c r="H777" s="2">
        <v>18</v>
      </c>
      <c r="I777" s="2">
        <f t="shared" si="36"/>
        <v>33639.839999999997</v>
      </c>
      <c r="J777" s="2" t="str">
        <f t="shared" si="37"/>
        <v>May</v>
      </c>
      <c r="K777" s="9">
        <f t="shared" si="38"/>
        <v>0.94695426363681134</v>
      </c>
    </row>
    <row r="778" spans="1:11" x14ac:dyDescent="0.35">
      <c r="A778" s="2" t="s">
        <v>935</v>
      </c>
      <c r="B778" s="4" t="s">
        <v>195</v>
      </c>
      <c r="C778" s="2" t="s">
        <v>31</v>
      </c>
      <c r="D778" s="2" t="s">
        <v>24</v>
      </c>
      <c r="E778" s="2" t="s">
        <v>12</v>
      </c>
      <c r="F778" s="2">
        <v>1112.67</v>
      </c>
      <c r="G778" s="2">
        <v>124.5</v>
      </c>
      <c r="H778" s="2">
        <v>16</v>
      </c>
      <c r="I778" s="2">
        <f t="shared" si="36"/>
        <v>988.17000000000007</v>
      </c>
      <c r="J778" s="2" t="str">
        <f t="shared" si="37"/>
        <v>April</v>
      </c>
      <c r="K778" s="9">
        <f t="shared" si="38"/>
        <v>0.88810698589878401</v>
      </c>
    </row>
    <row r="779" spans="1:11" x14ac:dyDescent="0.35">
      <c r="A779" s="2" t="s">
        <v>939</v>
      </c>
      <c r="B779" s="4" t="s">
        <v>416</v>
      </c>
      <c r="C779" s="2" t="s">
        <v>10</v>
      </c>
      <c r="D779" s="2" t="s">
        <v>24</v>
      </c>
      <c r="E779" s="2" t="s">
        <v>21</v>
      </c>
      <c r="F779" s="2">
        <v>17573.89</v>
      </c>
      <c r="G779" s="2">
        <v>3810.62</v>
      </c>
      <c r="H779" s="2">
        <v>1</v>
      </c>
      <c r="I779" s="2">
        <f t="shared" si="36"/>
        <v>13763.27</v>
      </c>
      <c r="J779" s="2" t="str">
        <f t="shared" si="37"/>
        <v>September</v>
      </c>
      <c r="K779" s="9">
        <f t="shared" si="38"/>
        <v>0.78316582156824699</v>
      </c>
    </row>
    <row r="780" spans="1:11" x14ac:dyDescent="0.35">
      <c r="A780" s="2" t="s">
        <v>941</v>
      </c>
      <c r="B780" s="4" t="s">
        <v>567</v>
      </c>
      <c r="C780" s="2" t="s">
        <v>27</v>
      </c>
      <c r="D780" s="2" t="s">
        <v>24</v>
      </c>
      <c r="E780" s="2" t="s">
        <v>21</v>
      </c>
      <c r="F780" s="2">
        <v>48100.61</v>
      </c>
      <c r="G780" s="2">
        <v>8982.0400000000009</v>
      </c>
      <c r="H780" s="2">
        <v>12</v>
      </c>
      <c r="I780" s="2">
        <f t="shared" si="36"/>
        <v>39118.57</v>
      </c>
      <c r="J780" s="2" t="str">
        <f t="shared" si="37"/>
        <v>March</v>
      </c>
      <c r="K780" s="9">
        <f t="shared" si="38"/>
        <v>0.81326556981293996</v>
      </c>
    </row>
    <row r="781" spans="1:11" x14ac:dyDescent="0.35">
      <c r="A781" s="2" t="s">
        <v>945</v>
      </c>
      <c r="B781" s="4" t="s">
        <v>62</v>
      </c>
      <c r="C781" s="2" t="s">
        <v>10</v>
      </c>
      <c r="D781" s="2" t="s">
        <v>24</v>
      </c>
      <c r="E781" s="2" t="s">
        <v>17</v>
      </c>
      <c r="F781" s="2">
        <v>13783.73</v>
      </c>
      <c r="G781" s="2">
        <v>2668.31</v>
      </c>
      <c r="H781" s="2">
        <v>5</v>
      </c>
      <c r="I781" s="2">
        <f t="shared" si="36"/>
        <v>11115.42</v>
      </c>
      <c r="J781" s="2" t="str">
        <f t="shared" si="37"/>
        <v>January</v>
      </c>
      <c r="K781" s="9">
        <f t="shared" si="38"/>
        <v>0.80641597013290311</v>
      </c>
    </row>
    <row r="782" spans="1:11" x14ac:dyDescent="0.35">
      <c r="A782" s="2" t="s">
        <v>962</v>
      </c>
      <c r="B782" s="4" t="s">
        <v>650</v>
      </c>
      <c r="C782" s="2" t="s">
        <v>10</v>
      </c>
      <c r="D782" s="2" t="s">
        <v>24</v>
      </c>
      <c r="E782" s="2" t="s">
        <v>12</v>
      </c>
      <c r="F782" s="2">
        <v>18567.740000000002</v>
      </c>
      <c r="G782" s="2">
        <v>1325.56</v>
      </c>
      <c r="H782" s="2">
        <v>13</v>
      </c>
      <c r="I782" s="2">
        <f t="shared" si="36"/>
        <v>17242.18</v>
      </c>
      <c r="J782" s="2" t="str">
        <f t="shared" si="37"/>
        <v>July</v>
      </c>
      <c r="K782" s="9">
        <f t="shared" si="38"/>
        <v>0.92860951305867057</v>
      </c>
    </row>
    <row r="783" spans="1:11" x14ac:dyDescent="0.35">
      <c r="A783" s="2" t="s">
        <v>964</v>
      </c>
      <c r="B783" s="4" t="s">
        <v>368</v>
      </c>
      <c r="C783" s="2" t="s">
        <v>27</v>
      </c>
      <c r="D783" s="2" t="s">
        <v>24</v>
      </c>
      <c r="E783" s="2" t="s">
        <v>21</v>
      </c>
      <c r="F783" s="2">
        <v>27930.76</v>
      </c>
      <c r="G783" s="2">
        <v>5113.8999999999996</v>
      </c>
      <c r="H783" s="2">
        <v>20</v>
      </c>
      <c r="I783" s="2">
        <f t="shared" si="36"/>
        <v>22816.86</v>
      </c>
      <c r="J783" s="2" t="str">
        <f t="shared" si="37"/>
        <v>June</v>
      </c>
      <c r="K783" s="9">
        <f t="shared" si="38"/>
        <v>0.81690795381149683</v>
      </c>
    </row>
    <row r="784" spans="1:11" x14ac:dyDescent="0.35">
      <c r="A784" s="2" t="s">
        <v>971</v>
      </c>
      <c r="B784" s="4" t="s">
        <v>416</v>
      </c>
      <c r="C784" s="2" t="s">
        <v>10</v>
      </c>
      <c r="D784" s="2" t="s">
        <v>24</v>
      </c>
      <c r="E784" s="2" t="s">
        <v>17</v>
      </c>
      <c r="F784" s="2">
        <v>22328.959999999999</v>
      </c>
      <c r="G784" s="2">
        <v>2876.88</v>
      </c>
      <c r="H784" s="2">
        <v>2</v>
      </c>
      <c r="I784" s="2">
        <f t="shared" si="36"/>
        <v>19452.079999999998</v>
      </c>
      <c r="J784" s="2" t="str">
        <f t="shared" si="37"/>
        <v>September</v>
      </c>
      <c r="K784" s="9">
        <f t="shared" si="38"/>
        <v>0.87115924790048438</v>
      </c>
    </row>
    <row r="785" spans="1:11" x14ac:dyDescent="0.35">
      <c r="A785" s="2" t="s">
        <v>981</v>
      </c>
      <c r="B785" s="4" t="s">
        <v>693</v>
      </c>
      <c r="C785" s="2" t="s">
        <v>27</v>
      </c>
      <c r="D785" s="2" t="s">
        <v>24</v>
      </c>
      <c r="E785" s="2" t="s">
        <v>12</v>
      </c>
      <c r="F785" s="2">
        <v>996.34</v>
      </c>
      <c r="G785" s="2">
        <v>298.70999999999998</v>
      </c>
      <c r="H785" s="2">
        <v>15</v>
      </c>
      <c r="I785" s="2">
        <f t="shared" si="36"/>
        <v>697.63000000000011</v>
      </c>
      <c r="J785" s="2" t="str">
        <f t="shared" si="37"/>
        <v>November</v>
      </c>
      <c r="K785" s="9">
        <f t="shared" si="38"/>
        <v>0.70019270530140321</v>
      </c>
    </row>
    <row r="786" spans="1:11" x14ac:dyDescent="0.35">
      <c r="A786" s="2" t="s">
        <v>983</v>
      </c>
      <c r="B786" s="4" t="s">
        <v>221</v>
      </c>
      <c r="C786" s="2" t="s">
        <v>27</v>
      </c>
      <c r="D786" s="2" t="s">
        <v>24</v>
      </c>
      <c r="E786" s="2" t="s">
        <v>21</v>
      </c>
      <c r="F786" s="2">
        <v>31506.9</v>
      </c>
      <c r="G786" s="2">
        <v>8826</v>
      </c>
      <c r="H786" s="2">
        <v>5</v>
      </c>
      <c r="I786" s="2">
        <f t="shared" si="36"/>
        <v>22680.9</v>
      </c>
      <c r="J786" s="2" t="str">
        <f t="shared" si="37"/>
        <v>June</v>
      </c>
      <c r="K786" s="9">
        <f t="shared" si="38"/>
        <v>0.71987088542509736</v>
      </c>
    </row>
    <row r="787" spans="1:11" x14ac:dyDescent="0.35">
      <c r="A787" s="2" t="s">
        <v>988</v>
      </c>
      <c r="B787" s="4" t="s">
        <v>989</v>
      </c>
      <c r="C787" s="2" t="s">
        <v>31</v>
      </c>
      <c r="D787" s="2" t="s">
        <v>24</v>
      </c>
      <c r="E787" s="2" t="s">
        <v>17</v>
      </c>
      <c r="F787" s="2">
        <v>38004.1</v>
      </c>
      <c r="G787" s="2">
        <v>5090.18</v>
      </c>
      <c r="H787" s="2">
        <v>6</v>
      </c>
      <c r="I787" s="2">
        <f t="shared" si="36"/>
        <v>32913.919999999998</v>
      </c>
      <c r="J787" s="2" t="str">
        <f t="shared" si="37"/>
        <v>May</v>
      </c>
      <c r="K787" s="9">
        <f t="shared" si="38"/>
        <v>0.86606234590478393</v>
      </c>
    </row>
    <row r="788" spans="1:11" x14ac:dyDescent="0.35">
      <c r="A788" s="2" t="s">
        <v>991</v>
      </c>
      <c r="B788" s="4" t="s">
        <v>472</v>
      </c>
      <c r="C788" s="2" t="s">
        <v>27</v>
      </c>
      <c r="D788" s="2" t="s">
        <v>24</v>
      </c>
      <c r="E788" s="2" t="s">
        <v>21</v>
      </c>
      <c r="F788" s="2">
        <v>19851.400000000001</v>
      </c>
      <c r="G788" s="2">
        <v>1276.04</v>
      </c>
      <c r="H788" s="2">
        <v>15</v>
      </c>
      <c r="I788" s="2">
        <f t="shared" si="36"/>
        <v>18575.36</v>
      </c>
      <c r="J788" s="2" t="str">
        <f t="shared" si="37"/>
        <v>August</v>
      </c>
      <c r="K788" s="9">
        <f t="shared" si="38"/>
        <v>0.935720402591253</v>
      </c>
    </row>
    <row r="789" spans="1:11" x14ac:dyDescent="0.35">
      <c r="A789" s="2" t="s">
        <v>1005</v>
      </c>
      <c r="B789" s="4" t="s">
        <v>686</v>
      </c>
      <c r="C789" s="2" t="s">
        <v>31</v>
      </c>
      <c r="D789" s="2" t="s">
        <v>24</v>
      </c>
      <c r="E789" s="2" t="s">
        <v>21</v>
      </c>
      <c r="F789" s="2">
        <v>35493.269999999997</v>
      </c>
      <c r="G789" s="2">
        <v>3265.28</v>
      </c>
      <c r="H789" s="2">
        <v>18</v>
      </c>
      <c r="I789" s="2">
        <f t="shared" si="36"/>
        <v>32227.989999999998</v>
      </c>
      <c r="J789" s="2" t="str">
        <f t="shared" si="37"/>
        <v>June</v>
      </c>
      <c r="K789" s="9">
        <f t="shared" si="38"/>
        <v>0.90800284110198926</v>
      </c>
    </row>
    <row r="790" spans="1:11" x14ac:dyDescent="0.35">
      <c r="A790" s="2" t="s">
        <v>1015</v>
      </c>
      <c r="B790" s="4" t="s">
        <v>372</v>
      </c>
      <c r="C790" s="2" t="s">
        <v>10</v>
      </c>
      <c r="D790" s="2" t="s">
        <v>24</v>
      </c>
      <c r="E790" s="2" t="s">
        <v>12</v>
      </c>
      <c r="F790" s="2">
        <v>7299.4</v>
      </c>
      <c r="G790" s="2">
        <v>1514.77</v>
      </c>
      <c r="H790" s="2">
        <v>20</v>
      </c>
      <c r="I790" s="2">
        <f t="shared" si="36"/>
        <v>5784.6299999999992</v>
      </c>
      <c r="J790" s="2" t="str">
        <f t="shared" si="37"/>
        <v>August</v>
      </c>
      <c r="K790" s="9">
        <f t="shared" si="38"/>
        <v>0.79248020385237139</v>
      </c>
    </row>
    <row r="791" spans="1:11" x14ac:dyDescent="0.35">
      <c r="A791" s="2" t="s">
        <v>1019</v>
      </c>
      <c r="B791" s="4" t="s">
        <v>929</v>
      </c>
      <c r="C791" s="2" t="s">
        <v>10</v>
      </c>
      <c r="D791" s="2" t="s">
        <v>24</v>
      </c>
      <c r="E791" s="2" t="s">
        <v>21</v>
      </c>
      <c r="F791" s="2">
        <v>14295.54</v>
      </c>
      <c r="G791" s="2">
        <v>4043.19</v>
      </c>
      <c r="H791" s="2">
        <v>7</v>
      </c>
      <c r="I791" s="2">
        <f t="shared" si="36"/>
        <v>10252.35</v>
      </c>
      <c r="J791" s="2" t="str">
        <f t="shared" si="37"/>
        <v>October</v>
      </c>
      <c r="K791" s="9">
        <f t="shared" si="38"/>
        <v>0.71717122962826163</v>
      </c>
    </row>
    <row r="792" spans="1:11" x14ac:dyDescent="0.35">
      <c r="A792" s="2" t="s">
        <v>1028</v>
      </c>
      <c r="B792" s="4" t="s">
        <v>503</v>
      </c>
      <c r="C792" s="2" t="s">
        <v>27</v>
      </c>
      <c r="D792" s="2" t="s">
        <v>24</v>
      </c>
      <c r="E792" s="2" t="s">
        <v>17</v>
      </c>
      <c r="F792" s="2">
        <v>32346.65</v>
      </c>
      <c r="G792" s="2">
        <v>5731.95</v>
      </c>
      <c r="H792" s="2">
        <v>18</v>
      </c>
      <c r="I792" s="2">
        <f t="shared" si="36"/>
        <v>26614.7</v>
      </c>
      <c r="J792" s="2" t="str">
        <f t="shared" si="37"/>
        <v>July</v>
      </c>
      <c r="K792" s="9">
        <f t="shared" si="38"/>
        <v>0.82279617827503004</v>
      </c>
    </row>
    <row r="793" spans="1:11" x14ac:dyDescent="0.35">
      <c r="A793" s="2" t="s">
        <v>1049</v>
      </c>
      <c r="B793" s="4" t="s">
        <v>140</v>
      </c>
      <c r="C793" s="2" t="s">
        <v>10</v>
      </c>
      <c r="D793" s="2" t="s">
        <v>24</v>
      </c>
      <c r="E793" s="2" t="s">
        <v>12</v>
      </c>
      <c r="F793" s="2">
        <v>45509.06</v>
      </c>
      <c r="G793" s="2">
        <v>12017.24</v>
      </c>
      <c r="H793" s="2">
        <v>4</v>
      </c>
      <c r="I793" s="2">
        <f t="shared" si="36"/>
        <v>33491.82</v>
      </c>
      <c r="J793" s="2" t="str">
        <f t="shared" si="37"/>
        <v>November</v>
      </c>
      <c r="K793" s="9">
        <f t="shared" si="38"/>
        <v>0.73593741553879599</v>
      </c>
    </row>
    <row r="794" spans="1:11" x14ac:dyDescent="0.35">
      <c r="A794" s="2" t="s">
        <v>1062</v>
      </c>
      <c r="B794" s="4" t="s">
        <v>379</v>
      </c>
      <c r="C794" s="2" t="s">
        <v>27</v>
      </c>
      <c r="D794" s="2" t="s">
        <v>24</v>
      </c>
      <c r="E794" s="2" t="s">
        <v>12</v>
      </c>
      <c r="F794" s="2">
        <v>49435.67</v>
      </c>
      <c r="G794" s="2">
        <v>5704.77</v>
      </c>
      <c r="H794" s="2">
        <v>18</v>
      </c>
      <c r="I794" s="2">
        <f t="shared" si="36"/>
        <v>43730.899999999994</v>
      </c>
      <c r="J794" s="2" t="str">
        <f t="shared" si="37"/>
        <v>March</v>
      </c>
      <c r="K794" s="9">
        <f t="shared" si="38"/>
        <v>0.88460215063333814</v>
      </c>
    </row>
    <row r="795" spans="1:11" x14ac:dyDescent="0.35">
      <c r="A795" s="2" t="s">
        <v>1066</v>
      </c>
      <c r="B795" s="4" t="s">
        <v>682</v>
      </c>
      <c r="C795" s="2" t="s">
        <v>31</v>
      </c>
      <c r="D795" s="2" t="s">
        <v>24</v>
      </c>
      <c r="E795" s="2" t="s">
        <v>17</v>
      </c>
      <c r="F795" s="2">
        <v>40657.699999999997</v>
      </c>
      <c r="G795" s="2">
        <v>9703.2999999999993</v>
      </c>
      <c r="H795" s="2">
        <v>15</v>
      </c>
      <c r="I795" s="2">
        <f t="shared" si="36"/>
        <v>30954.399999999998</v>
      </c>
      <c r="J795" s="2" t="str">
        <f t="shared" si="37"/>
        <v>February</v>
      </c>
      <c r="K795" s="9">
        <f t="shared" si="38"/>
        <v>0.76134164008293637</v>
      </c>
    </row>
    <row r="796" spans="1:11" x14ac:dyDescent="0.35">
      <c r="A796" s="2" t="s">
        <v>1076</v>
      </c>
      <c r="B796" s="4" t="s">
        <v>265</v>
      </c>
      <c r="C796" s="2" t="s">
        <v>27</v>
      </c>
      <c r="D796" s="2" t="s">
        <v>24</v>
      </c>
      <c r="E796" s="2" t="s">
        <v>12</v>
      </c>
      <c r="F796" s="2">
        <v>21100.38</v>
      </c>
      <c r="G796" s="2">
        <v>3995.66</v>
      </c>
      <c r="H796" s="2">
        <v>11</v>
      </c>
      <c r="I796" s="2">
        <f t="shared" si="36"/>
        <v>17104.72</v>
      </c>
      <c r="J796" s="2" t="str">
        <f t="shared" si="37"/>
        <v>October</v>
      </c>
      <c r="K796" s="9">
        <f t="shared" si="38"/>
        <v>0.81063563784159343</v>
      </c>
    </row>
    <row r="797" spans="1:11" x14ac:dyDescent="0.35">
      <c r="A797" s="2" t="s">
        <v>1091</v>
      </c>
      <c r="B797" s="4" t="s">
        <v>19</v>
      </c>
      <c r="C797" s="2" t="s">
        <v>10</v>
      </c>
      <c r="D797" s="2" t="s">
        <v>24</v>
      </c>
      <c r="E797" s="2" t="s">
        <v>12</v>
      </c>
      <c r="F797" s="2">
        <v>5075.1099999999997</v>
      </c>
      <c r="G797" s="2">
        <v>556.84</v>
      </c>
      <c r="H797" s="2">
        <v>13</v>
      </c>
      <c r="I797" s="2">
        <f t="shared" si="36"/>
        <v>4518.2699999999995</v>
      </c>
      <c r="J797" s="2" t="str">
        <f t="shared" si="37"/>
        <v>April</v>
      </c>
      <c r="K797" s="9">
        <f t="shared" si="38"/>
        <v>0.89028021067523655</v>
      </c>
    </row>
    <row r="798" spans="1:11" x14ac:dyDescent="0.35">
      <c r="A798" s="2" t="s">
        <v>1095</v>
      </c>
      <c r="B798" s="4" t="s">
        <v>628</v>
      </c>
      <c r="C798" s="2" t="s">
        <v>15</v>
      </c>
      <c r="D798" s="2" t="s">
        <v>24</v>
      </c>
      <c r="E798" s="2" t="s">
        <v>21</v>
      </c>
      <c r="F798" s="2">
        <v>48503.5</v>
      </c>
      <c r="G798" s="2">
        <v>6447.98</v>
      </c>
      <c r="H798" s="2">
        <v>13</v>
      </c>
      <c r="I798" s="2">
        <f t="shared" si="36"/>
        <v>42055.520000000004</v>
      </c>
      <c r="J798" s="2" t="str">
        <f t="shared" si="37"/>
        <v>February</v>
      </c>
      <c r="K798" s="9">
        <f t="shared" si="38"/>
        <v>0.86706155225911541</v>
      </c>
    </row>
    <row r="799" spans="1:11" x14ac:dyDescent="0.35">
      <c r="A799" s="2" t="s">
        <v>1099</v>
      </c>
      <c r="B799" s="4" t="s">
        <v>160</v>
      </c>
      <c r="C799" s="2" t="s">
        <v>31</v>
      </c>
      <c r="D799" s="2" t="s">
        <v>24</v>
      </c>
      <c r="E799" s="2" t="s">
        <v>17</v>
      </c>
      <c r="F799" s="2">
        <v>19438.990000000002</v>
      </c>
      <c r="G799" s="2">
        <v>1634.98</v>
      </c>
      <c r="H799" s="2">
        <v>13</v>
      </c>
      <c r="I799" s="2">
        <f t="shared" si="36"/>
        <v>17804.010000000002</v>
      </c>
      <c r="J799" s="2" t="str">
        <f t="shared" si="37"/>
        <v>March</v>
      </c>
      <c r="K799" s="9">
        <f t="shared" si="38"/>
        <v>0.91589172071182712</v>
      </c>
    </row>
    <row r="800" spans="1:11" x14ac:dyDescent="0.35">
      <c r="A800" s="2" t="s">
        <v>1100</v>
      </c>
      <c r="B800" s="4" t="s">
        <v>447</v>
      </c>
      <c r="C800" s="2" t="s">
        <v>15</v>
      </c>
      <c r="D800" s="2" t="s">
        <v>24</v>
      </c>
      <c r="E800" s="2" t="s">
        <v>21</v>
      </c>
      <c r="F800" s="2">
        <v>18598.54</v>
      </c>
      <c r="G800" s="2">
        <v>2084.27</v>
      </c>
      <c r="H800" s="2">
        <v>19</v>
      </c>
      <c r="I800" s="2">
        <f t="shared" si="36"/>
        <v>16514.27</v>
      </c>
      <c r="J800" s="2" t="str">
        <f t="shared" si="37"/>
        <v>August</v>
      </c>
      <c r="K800" s="9">
        <f t="shared" si="38"/>
        <v>0.88793367651439303</v>
      </c>
    </row>
    <row r="801" spans="1:11" x14ac:dyDescent="0.35">
      <c r="A801" s="2" t="s">
        <v>1136</v>
      </c>
      <c r="B801" s="4" t="s">
        <v>783</v>
      </c>
      <c r="C801" s="2" t="s">
        <v>15</v>
      </c>
      <c r="D801" s="2" t="s">
        <v>24</v>
      </c>
      <c r="E801" s="2" t="s">
        <v>12</v>
      </c>
      <c r="F801" s="2">
        <v>23747.45</v>
      </c>
      <c r="G801" s="2">
        <v>6299.35</v>
      </c>
      <c r="H801" s="2">
        <v>2</v>
      </c>
      <c r="I801" s="2">
        <f t="shared" si="36"/>
        <v>17448.099999999999</v>
      </c>
      <c r="J801" s="2" t="str">
        <f t="shared" si="37"/>
        <v>November</v>
      </c>
      <c r="K801" s="9">
        <f t="shared" si="38"/>
        <v>0.73473572952043265</v>
      </c>
    </row>
    <row r="802" spans="1:11" x14ac:dyDescent="0.35">
      <c r="A802" s="2" t="s">
        <v>1149</v>
      </c>
      <c r="B802" s="4" t="s">
        <v>589</v>
      </c>
      <c r="C802" s="2" t="s">
        <v>31</v>
      </c>
      <c r="D802" s="2" t="s">
        <v>24</v>
      </c>
      <c r="E802" s="2" t="s">
        <v>17</v>
      </c>
      <c r="F802" s="2">
        <v>24285.74</v>
      </c>
      <c r="G802" s="2">
        <v>3735.6</v>
      </c>
      <c r="H802" s="2">
        <v>19</v>
      </c>
      <c r="I802" s="2">
        <f t="shared" si="36"/>
        <v>20550.140000000003</v>
      </c>
      <c r="J802" s="2" t="str">
        <f t="shared" si="37"/>
        <v>November</v>
      </c>
      <c r="K802" s="9">
        <f t="shared" si="38"/>
        <v>0.84618133933740547</v>
      </c>
    </row>
    <row r="803" spans="1:11" x14ac:dyDescent="0.35">
      <c r="A803" s="2" t="s">
        <v>1155</v>
      </c>
      <c r="B803" s="4" t="s">
        <v>731</v>
      </c>
      <c r="C803" s="2" t="s">
        <v>10</v>
      </c>
      <c r="D803" s="2" t="s">
        <v>24</v>
      </c>
      <c r="E803" s="2" t="s">
        <v>17</v>
      </c>
      <c r="F803" s="2">
        <v>14242.95</v>
      </c>
      <c r="G803" s="2">
        <v>1525.51</v>
      </c>
      <c r="H803" s="2">
        <v>7</v>
      </c>
      <c r="I803" s="2">
        <f t="shared" si="36"/>
        <v>12717.44</v>
      </c>
      <c r="J803" s="2" t="str">
        <f t="shared" si="37"/>
        <v>February</v>
      </c>
      <c r="K803" s="9">
        <f t="shared" si="38"/>
        <v>0.89289367722276636</v>
      </c>
    </row>
    <row r="804" spans="1:11" x14ac:dyDescent="0.35">
      <c r="A804" s="2" t="s">
        <v>1163</v>
      </c>
      <c r="B804" s="4" t="s">
        <v>1164</v>
      </c>
      <c r="C804" s="2" t="s">
        <v>27</v>
      </c>
      <c r="D804" s="2" t="s">
        <v>24</v>
      </c>
      <c r="E804" s="2" t="s">
        <v>21</v>
      </c>
      <c r="F804" s="2">
        <v>37694.870000000003</v>
      </c>
      <c r="G804" s="2">
        <v>7925.6</v>
      </c>
      <c r="H804" s="2">
        <v>6</v>
      </c>
      <c r="I804" s="2">
        <f t="shared" si="36"/>
        <v>29769.270000000004</v>
      </c>
      <c r="J804" s="2" t="str">
        <f t="shared" si="37"/>
        <v>September</v>
      </c>
      <c r="K804" s="9">
        <f t="shared" si="38"/>
        <v>0.78974327275833556</v>
      </c>
    </row>
    <row r="805" spans="1:11" x14ac:dyDescent="0.35">
      <c r="A805" s="2" t="s">
        <v>1171</v>
      </c>
      <c r="B805" s="4" t="s">
        <v>660</v>
      </c>
      <c r="C805" s="2" t="s">
        <v>27</v>
      </c>
      <c r="D805" s="2" t="s">
        <v>24</v>
      </c>
      <c r="E805" s="2" t="s">
        <v>12</v>
      </c>
      <c r="F805" s="2">
        <v>14860.91</v>
      </c>
      <c r="G805" s="2">
        <v>2498.4699999999998</v>
      </c>
      <c r="H805" s="2">
        <v>8</v>
      </c>
      <c r="I805" s="2">
        <f t="shared" si="36"/>
        <v>12362.44</v>
      </c>
      <c r="J805" s="2" t="str">
        <f t="shared" si="37"/>
        <v>October</v>
      </c>
      <c r="K805" s="9">
        <f t="shared" si="38"/>
        <v>0.83187637903735379</v>
      </c>
    </row>
    <row r="806" spans="1:11" x14ac:dyDescent="0.35">
      <c r="A806" s="2" t="s">
        <v>1187</v>
      </c>
      <c r="B806" s="4" t="s">
        <v>707</v>
      </c>
      <c r="C806" s="2" t="s">
        <v>31</v>
      </c>
      <c r="D806" s="2" t="s">
        <v>24</v>
      </c>
      <c r="E806" s="2" t="s">
        <v>21</v>
      </c>
      <c r="F806" s="2">
        <v>43871.08</v>
      </c>
      <c r="G806" s="2">
        <v>12344.14</v>
      </c>
      <c r="H806" s="2">
        <v>14</v>
      </c>
      <c r="I806" s="2">
        <f t="shared" si="36"/>
        <v>31526.940000000002</v>
      </c>
      <c r="J806" s="2" t="str">
        <f t="shared" si="37"/>
        <v>March</v>
      </c>
      <c r="K806" s="9">
        <f t="shared" si="38"/>
        <v>0.7186269405722403</v>
      </c>
    </row>
    <row r="807" spans="1:11" x14ac:dyDescent="0.35">
      <c r="A807" s="2" t="s">
        <v>1209</v>
      </c>
      <c r="B807" s="4" t="s">
        <v>105</v>
      </c>
      <c r="C807" s="2" t="s">
        <v>31</v>
      </c>
      <c r="D807" s="2" t="s">
        <v>24</v>
      </c>
      <c r="E807" s="2" t="s">
        <v>17</v>
      </c>
      <c r="F807" s="2">
        <v>1359.63</v>
      </c>
      <c r="G807" s="2">
        <v>360.72</v>
      </c>
      <c r="H807" s="2">
        <v>3</v>
      </c>
      <c r="I807" s="2">
        <f t="shared" si="36"/>
        <v>998.91000000000008</v>
      </c>
      <c r="J807" s="2" t="str">
        <f t="shared" si="37"/>
        <v>September</v>
      </c>
      <c r="K807" s="9">
        <f t="shared" si="38"/>
        <v>0.734692526643278</v>
      </c>
    </row>
    <row r="808" spans="1:11" x14ac:dyDescent="0.35">
      <c r="A808" s="2" t="s">
        <v>1212</v>
      </c>
      <c r="B808" s="4" t="s">
        <v>246</v>
      </c>
      <c r="C808" s="2" t="s">
        <v>27</v>
      </c>
      <c r="D808" s="2" t="s">
        <v>24</v>
      </c>
      <c r="E808" s="2" t="s">
        <v>17</v>
      </c>
      <c r="F808" s="2">
        <v>25620.73</v>
      </c>
      <c r="G808" s="2">
        <v>2523.6</v>
      </c>
      <c r="H808" s="2">
        <v>18</v>
      </c>
      <c r="I808" s="2">
        <f t="shared" si="36"/>
        <v>23097.13</v>
      </c>
      <c r="J808" s="2" t="str">
        <f t="shared" si="37"/>
        <v>February</v>
      </c>
      <c r="K808" s="9">
        <f t="shared" si="38"/>
        <v>0.90150163558961827</v>
      </c>
    </row>
    <row r="809" spans="1:11" x14ac:dyDescent="0.35">
      <c r="A809" s="2" t="s">
        <v>1217</v>
      </c>
      <c r="B809" s="4" t="s">
        <v>211</v>
      </c>
      <c r="C809" s="2" t="s">
        <v>15</v>
      </c>
      <c r="D809" s="2" t="s">
        <v>24</v>
      </c>
      <c r="E809" s="2" t="s">
        <v>12</v>
      </c>
      <c r="F809" s="2">
        <v>43375.69</v>
      </c>
      <c r="G809" s="2">
        <v>8650.4599999999991</v>
      </c>
      <c r="H809" s="2">
        <v>17</v>
      </c>
      <c r="I809" s="2">
        <f t="shared" si="36"/>
        <v>34725.230000000003</v>
      </c>
      <c r="J809" s="2" t="str">
        <f t="shared" si="37"/>
        <v>June</v>
      </c>
      <c r="K809" s="9">
        <f t="shared" si="38"/>
        <v>0.80056893619444447</v>
      </c>
    </row>
    <row r="810" spans="1:11" x14ac:dyDescent="0.35">
      <c r="A810" s="2" t="s">
        <v>1225</v>
      </c>
      <c r="B810" s="4" t="s">
        <v>399</v>
      </c>
      <c r="C810" s="2" t="s">
        <v>10</v>
      </c>
      <c r="D810" s="2" t="s">
        <v>24</v>
      </c>
      <c r="E810" s="2" t="s">
        <v>12</v>
      </c>
      <c r="F810" s="2">
        <v>34376.870000000003</v>
      </c>
      <c r="G810" s="2">
        <v>4721.4399999999996</v>
      </c>
      <c r="H810" s="2">
        <v>4</v>
      </c>
      <c r="I810" s="2">
        <f t="shared" si="36"/>
        <v>29655.430000000004</v>
      </c>
      <c r="J810" s="2" t="str">
        <f t="shared" si="37"/>
        <v>June</v>
      </c>
      <c r="K810" s="9">
        <f t="shared" si="38"/>
        <v>0.86265648966878028</v>
      </c>
    </row>
    <row r="811" spans="1:11" x14ac:dyDescent="0.35">
      <c r="A811" s="2" t="s">
        <v>1233</v>
      </c>
      <c r="B811" s="4" t="s">
        <v>56</v>
      </c>
      <c r="C811" s="2" t="s">
        <v>10</v>
      </c>
      <c r="D811" s="2" t="s">
        <v>24</v>
      </c>
      <c r="E811" s="2" t="s">
        <v>12</v>
      </c>
      <c r="F811" s="2">
        <v>31290.69</v>
      </c>
      <c r="G811" s="2">
        <v>6497.11</v>
      </c>
      <c r="H811" s="2">
        <v>13</v>
      </c>
      <c r="I811" s="2">
        <f t="shared" si="36"/>
        <v>24793.579999999998</v>
      </c>
      <c r="J811" s="2" t="str">
        <f t="shared" si="37"/>
        <v>January</v>
      </c>
      <c r="K811" s="9">
        <f t="shared" si="38"/>
        <v>0.79236284019304137</v>
      </c>
    </row>
    <row r="812" spans="1:11" x14ac:dyDescent="0.35">
      <c r="A812" s="2" t="s">
        <v>1237</v>
      </c>
      <c r="B812" s="4" t="s">
        <v>253</v>
      </c>
      <c r="C812" s="2" t="s">
        <v>10</v>
      </c>
      <c r="D812" s="2" t="s">
        <v>24</v>
      </c>
      <c r="E812" s="2" t="s">
        <v>12</v>
      </c>
      <c r="F812" s="2">
        <v>17209.86</v>
      </c>
      <c r="G812" s="2">
        <v>4095.29</v>
      </c>
      <c r="H812" s="2">
        <v>9</v>
      </c>
      <c r="I812" s="2">
        <f t="shared" si="36"/>
        <v>13114.57</v>
      </c>
      <c r="J812" s="2" t="str">
        <f t="shared" si="37"/>
        <v>June</v>
      </c>
      <c r="K812" s="9">
        <f t="shared" si="38"/>
        <v>0.76203815719593304</v>
      </c>
    </row>
    <row r="813" spans="1:11" x14ac:dyDescent="0.35">
      <c r="A813" s="2" t="s">
        <v>1242</v>
      </c>
      <c r="B813" s="4" t="s">
        <v>589</v>
      </c>
      <c r="C813" s="2" t="s">
        <v>15</v>
      </c>
      <c r="D813" s="2" t="s">
        <v>24</v>
      </c>
      <c r="E813" s="2" t="s">
        <v>21</v>
      </c>
      <c r="F813" s="2">
        <v>27667.35</v>
      </c>
      <c r="G813" s="2">
        <v>2294.11</v>
      </c>
      <c r="H813" s="2">
        <v>14</v>
      </c>
      <c r="I813" s="2">
        <f t="shared" si="36"/>
        <v>25373.239999999998</v>
      </c>
      <c r="J813" s="2" t="str">
        <f t="shared" si="37"/>
        <v>November</v>
      </c>
      <c r="K813" s="9">
        <f t="shared" si="38"/>
        <v>0.91708240941037</v>
      </c>
    </row>
    <row r="814" spans="1:11" x14ac:dyDescent="0.35">
      <c r="A814" s="2" t="s">
        <v>1255</v>
      </c>
      <c r="B814" s="4" t="s">
        <v>339</v>
      </c>
      <c r="C814" s="2" t="s">
        <v>10</v>
      </c>
      <c r="D814" s="2" t="s">
        <v>24</v>
      </c>
      <c r="E814" s="2" t="s">
        <v>17</v>
      </c>
      <c r="F814" s="2">
        <v>46835.88</v>
      </c>
      <c r="G814" s="2">
        <v>6441.94</v>
      </c>
      <c r="H814" s="2">
        <v>13</v>
      </c>
      <c r="I814" s="2">
        <f t="shared" si="36"/>
        <v>40393.939999999995</v>
      </c>
      <c r="J814" s="2" t="str">
        <f t="shared" si="37"/>
        <v>September</v>
      </c>
      <c r="K814" s="9">
        <f t="shared" si="38"/>
        <v>0.86245715891320918</v>
      </c>
    </row>
    <row r="815" spans="1:11" x14ac:dyDescent="0.35">
      <c r="A815" s="2" t="s">
        <v>1257</v>
      </c>
      <c r="B815" s="4" t="s">
        <v>496</v>
      </c>
      <c r="C815" s="2" t="s">
        <v>10</v>
      </c>
      <c r="D815" s="2" t="s">
        <v>24</v>
      </c>
      <c r="E815" s="2" t="s">
        <v>17</v>
      </c>
      <c r="F815" s="2">
        <v>32243.97</v>
      </c>
      <c r="G815" s="2">
        <v>4235.72</v>
      </c>
      <c r="H815" s="2">
        <v>3</v>
      </c>
      <c r="I815" s="2">
        <f t="shared" si="36"/>
        <v>28008.25</v>
      </c>
      <c r="J815" s="2" t="str">
        <f t="shared" si="37"/>
        <v>January</v>
      </c>
      <c r="K815" s="9">
        <f t="shared" si="38"/>
        <v>0.86863528281411995</v>
      </c>
    </row>
    <row r="816" spans="1:11" x14ac:dyDescent="0.35">
      <c r="A816" s="2" t="s">
        <v>1260</v>
      </c>
      <c r="B816" s="4" t="s">
        <v>1261</v>
      </c>
      <c r="C816" s="2" t="s">
        <v>27</v>
      </c>
      <c r="D816" s="2" t="s">
        <v>24</v>
      </c>
      <c r="E816" s="2" t="s">
        <v>12</v>
      </c>
      <c r="F816" s="2">
        <v>29760.3</v>
      </c>
      <c r="G816" s="2">
        <v>7688.41</v>
      </c>
      <c r="H816" s="2">
        <v>5</v>
      </c>
      <c r="I816" s="2">
        <f t="shared" si="36"/>
        <v>22071.89</v>
      </c>
      <c r="J816" s="2" t="str">
        <f t="shared" si="37"/>
        <v>August</v>
      </c>
      <c r="K816" s="9">
        <f t="shared" si="38"/>
        <v>0.74165549406423992</v>
      </c>
    </row>
    <row r="817" spans="1:11" x14ac:dyDescent="0.35">
      <c r="A817" s="2" t="s">
        <v>1282</v>
      </c>
      <c r="B817" s="4" t="s">
        <v>174</v>
      </c>
      <c r="C817" s="2" t="s">
        <v>31</v>
      </c>
      <c r="D817" s="2" t="s">
        <v>24</v>
      </c>
      <c r="E817" s="2" t="s">
        <v>21</v>
      </c>
      <c r="F817" s="2">
        <v>12609.07</v>
      </c>
      <c r="G817" s="2">
        <v>2473.4299999999998</v>
      </c>
      <c r="H817" s="2">
        <v>7</v>
      </c>
      <c r="I817" s="2">
        <f t="shared" si="36"/>
        <v>10135.64</v>
      </c>
      <c r="J817" s="2" t="str">
        <f t="shared" si="37"/>
        <v>May</v>
      </c>
      <c r="K817" s="9">
        <f t="shared" si="38"/>
        <v>0.80383723779787086</v>
      </c>
    </row>
    <row r="818" spans="1:11" x14ac:dyDescent="0.35">
      <c r="A818" s="2" t="s">
        <v>1296</v>
      </c>
      <c r="B818" s="4" t="s">
        <v>397</v>
      </c>
      <c r="C818" s="2" t="s">
        <v>27</v>
      </c>
      <c r="D818" s="2" t="s">
        <v>24</v>
      </c>
      <c r="E818" s="2" t="s">
        <v>17</v>
      </c>
      <c r="F818" s="2">
        <v>43991.92</v>
      </c>
      <c r="G818" s="2">
        <v>5476.76</v>
      </c>
      <c r="H818" s="2">
        <v>15</v>
      </c>
      <c r="I818" s="2">
        <f t="shared" si="36"/>
        <v>38515.159999999996</v>
      </c>
      <c r="J818" s="2" t="str">
        <f t="shared" si="37"/>
        <v>April</v>
      </c>
      <c r="K818" s="9">
        <f t="shared" si="38"/>
        <v>0.87550532006786697</v>
      </c>
    </row>
    <row r="819" spans="1:11" x14ac:dyDescent="0.35">
      <c r="A819" s="2" t="s">
        <v>1298</v>
      </c>
      <c r="B819" s="4" t="s">
        <v>23</v>
      </c>
      <c r="C819" s="2" t="s">
        <v>15</v>
      </c>
      <c r="D819" s="2" t="s">
        <v>24</v>
      </c>
      <c r="E819" s="2" t="s">
        <v>17</v>
      </c>
      <c r="F819" s="2">
        <v>32842.22</v>
      </c>
      <c r="G819" s="2">
        <v>3328.35</v>
      </c>
      <c r="H819" s="2">
        <v>3</v>
      </c>
      <c r="I819" s="2">
        <f t="shared" si="36"/>
        <v>29513.870000000003</v>
      </c>
      <c r="J819" s="2" t="str">
        <f t="shared" si="37"/>
        <v>July</v>
      </c>
      <c r="K819" s="9">
        <f t="shared" si="38"/>
        <v>0.89865636366847312</v>
      </c>
    </row>
    <row r="820" spans="1:11" x14ac:dyDescent="0.35">
      <c r="A820" s="2" t="s">
        <v>1301</v>
      </c>
      <c r="B820" s="4" t="s">
        <v>125</v>
      </c>
      <c r="C820" s="2" t="s">
        <v>27</v>
      </c>
      <c r="D820" s="2" t="s">
        <v>24</v>
      </c>
      <c r="E820" s="2" t="s">
        <v>21</v>
      </c>
      <c r="F820" s="2">
        <v>48286.68</v>
      </c>
      <c r="G820" s="2">
        <v>12206.69</v>
      </c>
      <c r="H820" s="2">
        <v>12</v>
      </c>
      <c r="I820" s="2">
        <f t="shared" si="36"/>
        <v>36079.99</v>
      </c>
      <c r="J820" s="2" t="str">
        <f t="shared" si="37"/>
        <v>January</v>
      </c>
      <c r="K820" s="9">
        <f t="shared" si="38"/>
        <v>0.74720378373497609</v>
      </c>
    </row>
    <row r="821" spans="1:11" x14ac:dyDescent="0.35">
      <c r="A821" s="2" t="s">
        <v>1304</v>
      </c>
      <c r="B821" s="4" t="s">
        <v>829</v>
      </c>
      <c r="C821" s="2" t="s">
        <v>27</v>
      </c>
      <c r="D821" s="2" t="s">
        <v>24</v>
      </c>
      <c r="E821" s="2" t="s">
        <v>17</v>
      </c>
      <c r="F821" s="2">
        <v>17905.04</v>
      </c>
      <c r="G821" s="2">
        <v>4671.3100000000004</v>
      </c>
      <c r="H821" s="2">
        <v>2</v>
      </c>
      <c r="I821" s="2">
        <f t="shared" si="36"/>
        <v>13233.73</v>
      </c>
      <c r="J821" s="2" t="str">
        <f t="shared" si="37"/>
        <v>June</v>
      </c>
      <c r="K821" s="9">
        <f t="shared" si="38"/>
        <v>0.73910641919816988</v>
      </c>
    </row>
    <row r="822" spans="1:11" x14ac:dyDescent="0.35">
      <c r="A822" s="2" t="s">
        <v>1308</v>
      </c>
      <c r="B822" s="4" t="s">
        <v>213</v>
      </c>
      <c r="C822" s="2" t="s">
        <v>31</v>
      </c>
      <c r="D822" s="2" t="s">
        <v>24</v>
      </c>
      <c r="E822" s="2" t="s">
        <v>17</v>
      </c>
      <c r="F822" s="2">
        <v>36405.22</v>
      </c>
      <c r="G822" s="2">
        <v>2641.81</v>
      </c>
      <c r="H822" s="2">
        <v>19</v>
      </c>
      <c r="I822" s="2">
        <f t="shared" si="36"/>
        <v>33763.410000000003</v>
      </c>
      <c r="J822" s="2" t="str">
        <f t="shared" si="37"/>
        <v>November</v>
      </c>
      <c r="K822" s="9">
        <f t="shared" si="38"/>
        <v>0.92743320875412927</v>
      </c>
    </row>
    <row r="823" spans="1:11" x14ac:dyDescent="0.35">
      <c r="A823" s="2" t="s">
        <v>1312</v>
      </c>
      <c r="B823" s="4" t="s">
        <v>774</v>
      </c>
      <c r="C823" s="2" t="s">
        <v>10</v>
      </c>
      <c r="D823" s="2" t="s">
        <v>24</v>
      </c>
      <c r="E823" s="2" t="s">
        <v>12</v>
      </c>
      <c r="F823" s="2">
        <v>40042.99</v>
      </c>
      <c r="G823" s="2">
        <v>5365.43</v>
      </c>
      <c r="H823" s="2">
        <v>1</v>
      </c>
      <c r="I823" s="2">
        <f t="shared" si="36"/>
        <v>34677.56</v>
      </c>
      <c r="J823" s="2" t="str">
        <f t="shared" si="37"/>
        <v>July</v>
      </c>
      <c r="K823" s="9">
        <f t="shared" si="38"/>
        <v>0.86600825762511735</v>
      </c>
    </row>
    <row r="824" spans="1:11" x14ac:dyDescent="0.35">
      <c r="A824" s="2" t="s">
        <v>1314</v>
      </c>
      <c r="B824" s="4" t="s">
        <v>182</v>
      </c>
      <c r="C824" s="2" t="s">
        <v>27</v>
      </c>
      <c r="D824" s="2" t="s">
        <v>24</v>
      </c>
      <c r="E824" s="2" t="s">
        <v>21</v>
      </c>
      <c r="F824" s="2">
        <v>27828.78</v>
      </c>
      <c r="G824" s="2">
        <v>5883.4</v>
      </c>
      <c r="H824" s="2">
        <v>7</v>
      </c>
      <c r="I824" s="2">
        <f t="shared" si="36"/>
        <v>21945.379999999997</v>
      </c>
      <c r="J824" s="2" t="str">
        <f t="shared" si="37"/>
        <v>January</v>
      </c>
      <c r="K824" s="9">
        <f t="shared" si="38"/>
        <v>0.78858577343311487</v>
      </c>
    </row>
    <row r="825" spans="1:11" x14ac:dyDescent="0.35">
      <c r="A825" s="2" t="s">
        <v>1316</v>
      </c>
      <c r="B825" s="4" t="s">
        <v>195</v>
      </c>
      <c r="C825" s="2" t="s">
        <v>31</v>
      </c>
      <c r="D825" s="2" t="s">
        <v>24</v>
      </c>
      <c r="E825" s="2" t="s">
        <v>17</v>
      </c>
      <c r="F825" s="2">
        <v>49829.46</v>
      </c>
      <c r="G825" s="2">
        <v>4911.0600000000004</v>
      </c>
      <c r="H825" s="2">
        <v>8</v>
      </c>
      <c r="I825" s="2">
        <f t="shared" si="36"/>
        <v>44918.400000000001</v>
      </c>
      <c r="J825" s="2" t="str">
        <f t="shared" si="37"/>
        <v>April</v>
      </c>
      <c r="K825" s="9">
        <f t="shared" si="38"/>
        <v>0.90144264055841672</v>
      </c>
    </row>
    <row r="826" spans="1:11" x14ac:dyDescent="0.35">
      <c r="A826" s="2" t="s">
        <v>1319</v>
      </c>
      <c r="B826" s="4" t="s">
        <v>774</v>
      </c>
      <c r="C826" s="2" t="s">
        <v>15</v>
      </c>
      <c r="D826" s="2" t="s">
        <v>24</v>
      </c>
      <c r="E826" s="2" t="s">
        <v>17</v>
      </c>
      <c r="F826" s="2">
        <v>47200.55</v>
      </c>
      <c r="G826" s="2">
        <v>13056.31</v>
      </c>
      <c r="H826" s="2">
        <v>10</v>
      </c>
      <c r="I826" s="2">
        <f t="shared" si="36"/>
        <v>34144.240000000005</v>
      </c>
      <c r="J826" s="2" t="str">
        <f t="shared" si="37"/>
        <v>July</v>
      </c>
      <c r="K826" s="9">
        <f t="shared" si="38"/>
        <v>0.72338648596255772</v>
      </c>
    </row>
    <row r="827" spans="1:11" x14ac:dyDescent="0.35">
      <c r="A827" s="2" t="s">
        <v>1331</v>
      </c>
      <c r="B827" s="4" t="s">
        <v>472</v>
      </c>
      <c r="C827" s="2" t="s">
        <v>10</v>
      </c>
      <c r="D827" s="2" t="s">
        <v>24</v>
      </c>
      <c r="E827" s="2" t="s">
        <v>21</v>
      </c>
      <c r="F827" s="2">
        <v>33413.64</v>
      </c>
      <c r="G827" s="2">
        <v>5367.96</v>
      </c>
      <c r="H827" s="2">
        <v>19</v>
      </c>
      <c r="I827" s="2">
        <f t="shared" si="36"/>
        <v>28045.68</v>
      </c>
      <c r="J827" s="2" t="str">
        <f t="shared" si="37"/>
        <v>August</v>
      </c>
      <c r="K827" s="9">
        <f t="shared" si="38"/>
        <v>0.83934824221485604</v>
      </c>
    </row>
    <row r="828" spans="1:11" x14ac:dyDescent="0.35">
      <c r="A828" s="2" t="s">
        <v>1347</v>
      </c>
      <c r="B828" s="4" t="s">
        <v>282</v>
      </c>
      <c r="C828" s="2" t="s">
        <v>27</v>
      </c>
      <c r="D828" s="2" t="s">
        <v>24</v>
      </c>
      <c r="E828" s="2" t="s">
        <v>17</v>
      </c>
      <c r="F828" s="2">
        <v>21763.39</v>
      </c>
      <c r="G828" s="2">
        <v>2523.36</v>
      </c>
      <c r="H828" s="2">
        <v>18</v>
      </c>
      <c r="I828" s="2">
        <f t="shared" si="36"/>
        <v>19240.03</v>
      </c>
      <c r="J828" s="2" t="str">
        <f t="shared" si="37"/>
        <v>June</v>
      </c>
      <c r="K828" s="9">
        <f t="shared" si="38"/>
        <v>0.88405482785540301</v>
      </c>
    </row>
    <row r="829" spans="1:11" x14ac:dyDescent="0.35">
      <c r="A829" s="2" t="s">
        <v>1354</v>
      </c>
      <c r="B829" s="4" t="s">
        <v>950</v>
      </c>
      <c r="C829" s="2" t="s">
        <v>27</v>
      </c>
      <c r="D829" s="2" t="s">
        <v>24</v>
      </c>
      <c r="E829" s="2" t="s">
        <v>21</v>
      </c>
      <c r="F829" s="2">
        <v>5887.23</v>
      </c>
      <c r="G829" s="2">
        <v>1175.24</v>
      </c>
      <c r="H829" s="2">
        <v>17</v>
      </c>
      <c r="I829" s="2">
        <f t="shared" si="36"/>
        <v>4711.99</v>
      </c>
      <c r="J829" s="2" t="str">
        <f t="shared" si="37"/>
        <v>August</v>
      </c>
      <c r="K829" s="9">
        <f t="shared" si="38"/>
        <v>0.80037470932849575</v>
      </c>
    </row>
    <row r="830" spans="1:11" x14ac:dyDescent="0.35">
      <c r="A830" s="2" t="s">
        <v>1357</v>
      </c>
      <c r="B830" s="4" t="s">
        <v>82</v>
      </c>
      <c r="C830" s="2" t="s">
        <v>27</v>
      </c>
      <c r="D830" s="2" t="s">
        <v>24</v>
      </c>
      <c r="E830" s="2" t="s">
        <v>12</v>
      </c>
      <c r="F830" s="2">
        <v>28413.759999999998</v>
      </c>
      <c r="G830" s="2">
        <v>2925.68</v>
      </c>
      <c r="H830" s="2">
        <v>3</v>
      </c>
      <c r="I830" s="2">
        <f t="shared" si="36"/>
        <v>25488.079999999998</v>
      </c>
      <c r="J830" s="2" t="str">
        <f t="shared" si="37"/>
        <v>October</v>
      </c>
      <c r="K830" s="9">
        <f t="shared" si="38"/>
        <v>0.8970329868345478</v>
      </c>
    </row>
    <row r="831" spans="1:11" x14ac:dyDescent="0.35">
      <c r="A831" s="2" t="s">
        <v>25</v>
      </c>
      <c r="B831" s="4" t="s">
        <v>26</v>
      </c>
      <c r="C831" s="2" t="s">
        <v>27</v>
      </c>
      <c r="D831" s="2" t="s">
        <v>28</v>
      </c>
      <c r="E831" s="2" t="s">
        <v>17</v>
      </c>
      <c r="F831" s="2">
        <v>45304.41</v>
      </c>
      <c r="G831" s="2">
        <v>8895.3700000000008</v>
      </c>
      <c r="H831" s="2">
        <v>20</v>
      </c>
      <c r="I831" s="2">
        <f t="shared" si="36"/>
        <v>36409.040000000001</v>
      </c>
      <c r="J831" s="2" t="str">
        <f t="shared" si="37"/>
        <v>September</v>
      </c>
      <c r="K831" s="9">
        <f t="shared" si="38"/>
        <v>0.80365333087882607</v>
      </c>
    </row>
    <row r="832" spans="1:11" x14ac:dyDescent="0.35">
      <c r="A832" s="2" t="s">
        <v>35</v>
      </c>
      <c r="B832" s="4" t="s">
        <v>36</v>
      </c>
      <c r="C832" s="2" t="s">
        <v>27</v>
      </c>
      <c r="D832" s="2" t="s">
        <v>28</v>
      </c>
      <c r="E832" s="2" t="s">
        <v>21</v>
      </c>
      <c r="F832" s="2">
        <v>34884.160000000003</v>
      </c>
      <c r="G832" s="2">
        <v>2633.32</v>
      </c>
      <c r="H832" s="2">
        <v>20</v>
      </c>
      <c r="I832" s="2">
        <f t="shared" si="36"/>
        <v>32250.840000000004</v>
      </c>
      <c r="J832" s="2" t="str">
        <f t="shared" si="37"/>
        <v>November</v>
      </c>
      <c r="K832" s="9">
        <f t="shared" si="38"/>
        <v>0.92451244347004491</v>
      </c>
    </row>
    <row r="833" spans="1:11" x14ac:dyDescent="0.35">
      <c r="A833" s="2" t="s">
        <v>39</v>
      </c>
      <c r="B833" s="4" t="s">
        <v>40</v>
      </c>
      <c r="C833" s="2" t="s">
        <v>10</v>
      </c>
      <c r="D833" s="2" t="s">
        <v>28</v>
      </c>
      <c r="E833" s="2" t="s">
        <v>12</v>
      </c>
      <c r="F833" s="2">
        <v>34663.14</v>
      </c>
      <c r="G833" s="2">
        <v>8499.91</v>
      </c>
      <c r="H833" s="2">
        <v>15</v>
      </c>
      <c r="I833" s="2">
        <f t="shared" si="36"/>
        <v>26163.23</v>
      </c>
      <c r="J833" s="2" t="str">
        <f t="shared" si="37"/>
        <v>January</v>
      </c>
      <c r="K833" s="9">
        <f t="shared" si="38"/>
        <v>0.75478534258581309</v>
      </c>
    </row>
    <row r="834" spans="1:11" x14ac:dyDescent="0.35">
      <c r="A834" s="2" t="s">
        <v>45</v>
      </c>
      <c r="B834" s="4" t="s">
        <v>46</v>
      </c>
      <c r="C834" s="2" t="s">
        <v>15</v>
      </c>
      <c r="D834" s="2" t="s">
        <v>28</v>
      </c>
      <c r="E834" s="2" t="s">
        <v>12</v>
      </c>
      <c r="F834" s="2">
        <v>23741.89</v>
      </c>
      <c r="G834" s="2">
        <v>6054.66</v>
      </c>
      <c r="H834" s="2">
        <v>19</v>
      </c>
      <c r="I834" s="2">
        <f t="shared" ref="I834:I897" si="39">(F834-G834)</f>
        <v>17687.23</v>
      </c>
      <c r="J834" s="2" t="str">
        <f t="shared" ref="J834:J897" si="40">TEXT(B834,"mmmm")</f>
        <v>October</v>
      </c>
      <c r="K834" s="9">
        <f t="shared" ref="K834:K897" si="41">(F834-G834)/F834</f>
        <v>0.74497986470327338</v>
      </c>
    </row>
    <row r="835" spans="1:11" x14ac:dyDescent="0.35">
      <c r="A835" s="2" t="s">
        <v>49</v>
      </c>
      <c r="B835" s="4" t="s">
        <v>50</v>
      </c>
      <c r="C835" s="2" t="s">
        <v>27</v>
      </c>
      <c r="D835" s="2" t="s">
        <v>28</v>
      </c>
      <c r="E835" s="2" t="s">
        <v>21</v>
      </c>
      <c r="F835" s="2">
        <v>35291.17</v>
      </c>
      <c r="G835" s="2">
        <v>7074.63</v>
      </c>
      <c r="H835" s="2">
        <v>2</v>
      </c>
      <c r="I835" s="2">
        <f t="shared" si="39"/>
        <v>28216.539999999997</v>
      </c>
      <c r="J835" s="2" t="str">
        <f t="shared" si="40"/>
        <v>June</v>
      </c>
      <c r="K835" s="9">
        <f t="shared" si="41"/>
        <v>0.79953540786548016</v>
      </c>
    </row>
    <row r="836" spans="1:11" x14ac:dyDescent="0.35">
      <c r="A836" s="2" t="s">
        <v>71</v>
      </c>
      <c r="B836" s="4" t="s">
        <v>72</v>
      </c>
      <c r="C836" s="2" t="s">
        <v>15</v>
      </c>
      <c r="D836" s="2" t="s">
        <v>28</v>
      </c>
      <c r="E836" s="2" t="s">
        <v>21</v>
      </c>
      <c r="F836" s="2">
        <v>9137.8700000000008</v>
      </c>
      <c r="G836" s="2">
        <v>2021.49</v>
      </c>
      <c r="H836" s="2">
        <v>10</v>
      </c>
      <c r="I836" s="2">
        <f t="shared" si="39"/>
        <v>7116.380000000001</v>
      </c>
      <c r="J836" s="2" t="str">
        <f t="shared" si="40"/>
        <v>March</v>
      </c>
      <c r="K836" s="9">
        <f t="shared" si="41"/>
        <v>0.77877886203239932</v>
      </c>
    </row>
    <row r="837" spans="1:11" x14ac:dyDescent="0.35">
      <c r="A837" s="2" t="s">
        <v>73</v>
      </c>
      <c r="B837" s="4" t="s">
        <v>66</v>
      </c>
      <c r="C837" s="2" t="s">
        <v>10</v>
      </c>
      <c r="D837" s="2" t="s">
        <v>28</v>
      </c>
      <c r="E837" s="2" t="s">
        <v>21</v>
      </c>
      <c r="F837" s="2">
        <v>48181.66</v>
      </c>
      <c r="G837" s="2">
        <v>10308.1</v>
      </c>
      <c r="H837" s="2">
        <v>16</v>
      </c>
      <c r="I837" s="2">
        <f t="shared" si="39"/>
        <v>37873.560000000005</v>
      </c>
      <c r="J837" s="2" t="str">
        <f t="shared" si="40"/>
        <v>January</v>
      </c>
      <c r="K837" s="9">
        <f t="shared" si="41"/>
        <v>0.78605759950985499</v>
      </c>
    </row>
    <row r="838" spans="1:11" x14ac:dyDescent="0.35">
      <c r="A838" s="2" t="s">
        <v>74</v>
      </c>
      <c r="B838" s="4" t="s">
        <v>75</v>
      </c>
      <c r="C838" s="2" t="s">
        <v>15</v>
      </c>
      <c r="D838" s="2" t="s">
        <v>28</v>
      </c>
      <c r="E838" s="2" t="s">
        <v>12</v>
      </c>
      <c r="F838" s="2">
        <v>12947.11</v>
      </c>
      <c r="G838" s="2">
        <v>2675.59</v>
      </c>
      <c r="H838" s="2">
        <v>14</v>
      </c>
      <c r="I838" s="2">
        <f t="shared" si="39"/>
        <v>10271.52</v>
      </c>
      <c r="J838" s="2" t="str">
        <f t="shared" si="40"/>
        <v>April</v>
      </c>
      <c r="K838" s="9">
        <f t="shared" si="41"/>
        <v>0.79334461513032639</v>
      </c>
    </row>
    <row r="839" spans="1:11" x14ac:dyDescent="0.35">
      <c r="A839" s="2" t="s">
        <v>110</v>
      </c>
      <c r="B839" s="4" t="s">
        <v>111</v>
      </c>
      <c r="C839" s="2" t="s">
        <v>27</v>
      </c>
      <c r="D839" s="2" t="s">
        <v>28</v>
      </c>
      <c r="E839" s="2" t="s">
        <v>12</v>
      </c>
      <c r="F839" s="2">
        <v>45777.01</v>
      </c>
      <c r="G839" s="2">
        <v>2355.56</v>
      </c>
      <c r="H839" s="2">
        <v>19</v>
      </c>
      <c r="I839" s="2">
        <f t="shared" si="39"/>
        <v>43421.450000000004</v>
      </c>
      <c r="J839" s="2" t="str">
        <f t="shared" si="40"/>
        <v>October</v>
      </c>
      <c r="K839" s="9">
        <f t="shared" si="41"/>
        <v>0.94854272919965721</v>
      </c>
    </row>
    <row r="840" spans="1:11" x14ac:dyDescent="0.35">
      <c r="A840" s="2" t="s">
        <v>120</v>
      </c>
      <c r="B840" s="4" t="s">
        <v>121</v>
      </c>
      <c r="C840" s="2" t="s">
        <v>31</v>
      </c>
      <c r="D840" s="2" t="s">
        <v>28</v>
      </c>
      <c r="E840" s="2" t="s">
        <v>21</v>
      </c>
      <c r="F840" s="2">
        <v>36360.89</v>
      </c>
      <c r="G840" s="2">
        <v>7419.69</v>
      </c>
      <c r="H840" s="2">
        <v>7</v>
      </c>
      <c r="I840" s="2">
        <f t="shared" si="39"/>
        <v>28941.200000000001</v>
      </c>
      <c r="J840" s="2" t="str">
        <f t="shared" si="40"/>
        <v>May</v>
      </c>
      <c r="K840" s="9">
        <f t="shared" si="41"/>
        <v>0.79594311360365499</v>
      </c>
    </row>
    <row r="841" spans="1:11" x14ac:dyDescent="0.35">
      <c r="A841" s="2" t="s">
        <v>122</v>
      </c>
      <c r="B841" s="4" t="s">
        <v>123</v>
      </c>
      <c r="C841" s="2" t="s">
        <v>10</v>
      </c>
      <c r="D841" s="2" t="s">
        <v>28</v>
      </c>
      <c r="E841" s="2" t="s">
        <v>12</v>
      </c>
      <c r="F841" s="2">
        <v>36121.089999999997</v>
      </c>
      <c r="G841" s="2">
        <v>6043.59</v>
      </c>
      <c r="H841" s="2">
        <v>8</v>
      </c>
      <c r="I841" s="2">
        <f t="shared" si="39"/>
        <v>30077.499999999996</v>
      </c>
      <c r="J841" s="2" t="str">
        <f t="shared" si="40"/>
        <v>February</v>
      </c>
      <c r="K841" s="9">
        <f t="shared" si="41"/>
        <v>0.83268528164570887</v>
      </c>
    </row>
    <row r="842" spans="1:11" x14ac:dyDescent="0.35">
      <c r="A842" s="2" t="s">
        <v>126</v>
      </c>
      <c r="B842" s="4" t="s">
        <v>127</v>
      </c>
      <c r="C842" s="2" t="s">
        <v>15</v>
      </c>
      <c r="D842" s="2" t="s">
        <v>28</v>
      </c>
      <c r="E842" s="2" t="s">
        <v>17</v>
      </c>
      <c r="F842" s="2">
        <v>16098.37</v>
      </c>
      <c r="G842" s="2">
        <v>2740.26</v>
      </c>
      <c r="H842" s="2">
        <v>1</v>
      </c>
      <c r="I842" s="2">
        <f t="shared" si="39"/>
        <v>13358.11</v>
      </c>
      <c r="J842" s="2" t="str">
        <f t="shared" si="40"/>
        <v>June</v>
      </c>
      <c r="K842" s="9">
        <f t="shared" si="41"/>
        <v>0.82978028210309496</v>
      </c>
    </row>
    <row r="843" spans="1:11" x14ac:dyDescent="0.35">
      <c r="A843" s="2" t="s">
        <v>131</v>
      </c>
      <c r="B843" s="4" t="s">
        <v>132</v>
      </c>
      <c r="C843" s="2" t="s">
        <v>15</v>
      </c>
      <c r="D843" s="2" t="s">
        <v>28</v>
      </c>
      <c r="E843" s="2" t="s">
        <v>17</v>
      </c>
      <c r="F843" s="2">
        <v>940.13</v>
      </c>
      <c r="G843" s="2">
        <v>62.65</v>
      </c>
      <c r="H843" s="2">
        <v>11</v>
      </c>
      <c r="I843" s="2">
        <f t="shared" si="39"/>
        <v>877.48</v>
      </c>
      <c r="J843" s="2" t="str">
        <f t="shared" si="40"/>
        <v>January</v>
      </c>
      <c r="K843" s="9">
        <f t="shared" si="41"/>
        <v>0.93336027996128201</v>
      </c>
    </row>
    <row r="844" spans="1:11" x14ac:dyDescent="0.35">
      <c r="A844" s="2" t="s">
        <v>137</v>
      </c>
      <c r="B844" s="4" t="s">
        <v>138</v>
      </c>
      <c r="C844" s="2" t="s">
        <v>27</v>
      </c>
      <c r="D844" s="2" t="s">
        <v>28</v>
      </c>
      <c r="E844" s="2" t="s">
        <v>21</v>
      </c>
      <c r="F844" s="2">
        <v>34743.26</v>
      </c>
      <c r="G844" s="2">
        <v>6714.58</v>
      </c>
      <c r="H844" s="2">
        <v>17</v>
      </c>
      <c r="I844" s="2">
        <f t="shared" si="39"/>
        <v>28028.68</v>
      </c>
      <c r="J844" s="2" t="str">
        <f t="shared" si="40"/>
        <v>September</v>
      </c>
      <c r="K844" s="9">
        <f t="shared" si="41"/>
        <v>0.80673719161644586</v>
      </c>
    </row>
    <row r="845" spans="1:11" x14ac:dyDescent="0.35">
      <c r="A845" s="2" t="s">
        <v>156</v>
      </c>
      <c r="B845" s="4" t="s">
        <v>157</v>
      </c>
      <c r="C845" s="2" t="s">
        <v>31</v>
      </c>
      <c r="D845" s="2" t="s">
        <v>28</v>
      </c>
      <c r="E845" s="2" t="s">
        <v>17</v>
      </c>
      <c r="F845" s="2">
        <v>10467.469999999999</v>
      </c>
      <c r="G845" s="2">
        <v>2416.88</v>
      </c>
      <c r="H845" s="2">
        <v>14</v>
      </c>
      <c r="I845" s="2">
        <f t="shared" si="39"/>
        <v>8050.5899999999992</v>
      </c>
      <c r="J845" s="2" t="str">
        <f t="shared" si="40"/>
        <v>December</v>
      </c>
      <c r="K845" s="9">
        <f t="shared" si="41"/>
        <v>0.76910561960053381</v>
      </c>
    </row>
    <row r="846" spans="1:11" x14ac:dyDescent="0.35">
      <c r="A846" s="2" t="s">
        <v>159</v>
      </c>
      <c r="B846" s="4" t="s">
        <v>160</v>
      </c>
      <c r="C846" s="2" t="s">
        <v>31</v>
      </c>
      <c r="D846" s="2" t="s">
        <v>28</v>
      </c>
      <c r="E846" s="2" t="s">
        <v>12</v>
      </c>
      <c r="F846" s="2">
        <v>43350.03</v>
      </c>
      <c r="G846" s="2">
        <v>4449.84</v>
      </c>
      <c r="H846" s="2">
        <v>18</v>
      </c>
      <c r="I846" s="2">
        <f t="shared" si="39"/>
        <v>38900.19</v>
      </c>
      <c r="J846" s="2" t="str">
        <f t="shared" si="40"/>
        <v>March</v>
      </c>
      <c r="K846" s="9">
        <f t="shared" si="41"/>
        <v>0.89735093608931771</v>
      </c>
    </row>
    <row r="847" spans="1:11" x14ac:dyDescent="0.35">
      <c r="A847" s="2" t="s">
        <v>161</v>
      </c>
      <c r="B847" s="4" t="s">
        <v>162</v>
      </c>
      <c r="C847" s="2" t="s">
        <v>31</v>
      </c>
      <c r="D847" s="2" t="s">
        <v>28</v>
      </c>
      <c r="E847" s="2" t="s">
        <v>12</v>
      </c>
      <c r="F847" s="2">
        <v>17951.150000000001</v>
      </c>
      <c r="G847" s="2">
        <v>4815.32</v>
      </c>
      <c r="H847" s="2">
        <v>5</v>
      </c>
      <c r="I847" s="2">
        <f t="shared" si="39"/>
        <v>13135.830000000002</v>
      </c>
      <c r="J847" s="2" t="str">
        <f t="shared" si="40"/>
        <v>July</v>
      </c>
      <c r="K847" s="9">
        <f t="shared" si="41"/>
        <v>0.73175423301571207</v>
      </c>
    </row>
    <row r="848" spans="1:11" x14ac:dyDescent="0.35">
      <c r="A848" s="2" t="s">
        <v>171</v>
      </c>
      <c r="B848" s="4" t="s">
        <v>172</v>
      </c>
      <c r="C848" s="2" t="s">
        <v>10</v>
      </c>
      <c r="D848" s="2" t="s">
        <v>28</v>
      </c>
      <c r="E848" s="2" t="s">
        <v>21</v>
      </c>
      <c r="F848" s="2">
        <v>23020.720000000001</v>
      </c>
      <c r="G848" s="2">
        <v>6074.9</v>
      </c>
      <c r="H848" s="2">
        <v>15</v>
      </c>
      <c r="I848" s="2">
        <f t="shared" si="39"/>
        <v>16945.82</v>
      </c>
      <c r="J848" s="2" t="str">
        <f t="shared" si="40"/>
        <v>August</v>
      </c>
      <c r="K848" s="9">
        <f t="shared" si="41"/>
        <v>0.73611164203378521</v>
      </c>
    </row>
    <row r="849" spans="1:11" x14ac:dyDescent="0.35">
      <c r="A849" s="2" t="s">
        <v>173</v>
      </c>
      <c r="B849" s="4" t="s">
        <v>174</v>
      </c>
      <c r="C849" s="2" t="s">
        <v>27</v>
      </c>
      <c r="D849" s="2" t="s">
        <v>28</v>
      </c>
      <c r="E849" s="2" t="s">
        <v>21</v>
      </c>
      <c r="F849" s="2">
        <v>12018.19</v>
      </c>
      <c r="G849" s="2">
        <v>2423.14</v>
      </c>
      <c r="H849" s="2">
        <v>1</v>
      </c>
      <c r="I849" s="2">
        <f t="shared" si="39"/>
        <v>9595.0500000000011</v>
      </c>
      <c r="J849" s="2" t="str">
        <f t="shared" si="40"/>
        <v>May</v>
      </c>
      <c r="K849" s="9">
        <f t="shared" si="41"/>
        <v>0.79837729308656302</v>
      </c>
    </row>
    <row r="850" spans="1:11" x14ac:dyDescent="0.35">
      <c r="A850" s="2" t="s">
        <v>200</v>
      </c>
      <c r="B850" s="4" t="s">
        <v>201</v>
      </c>
      <c r="C850" s="2" t="s">
        <v>27</v>
      </c>
      <c r="D850" s="2" t="s">
        <v>28</v>
      </c>
      <c r="E850" s="2" t="s">
        <v>17</v>
      </c>
      <c r="F850" s="2">
        <v>23802.79</v>
      </c>
      <c r="G850" s="2">
        <v>1647.04</v>
      </c>
      <c r="H850" s="2">
        <v>20</v>
      </c>
      <c r="I850" s="2">
        <f t="shared" si="39"/>
        <v>22155.75</v>
      </c>
      <c r="J850" s="2" t="str">
        <f t="shared" si="40"/>
        <v>September</v>
      </c>
      <c r="K850" s="9">
        <f t="shared" si="41"/>
        <v>0.93080475019945141</v>
      </c>
    </row>
    <row r="851" spans="1:11" x14ac:dyDescent="0.35">
      <c r="A851" s="2" t="s">
        <v>203</v>
      </c>
      <c r="B851" s="4" t="s">
        <v>204</v>
      </c>
      <c r="C851" s="2" t="s">
        <v>31</v>
      </c>
      <c r="D851" s="2" t="s">
        <v>28</v>
      </c>
      <c r="E851" s="2" t="s">
        <v>17</v>
      </c>
      <c r="F851" s="2">
        <v>38229.29</v>
      </c>
      <c r="G851" s="2">
        <v>9711.5</v>
      </c>
      <c r="H851" s="2">
        <v>20</v>
      </c>
      <c r="I851" s="2">
        <f t="shared" si="39"/>
        <v>28517.79</v>
      </c>
      <c r="J851" s="2" t="str">
        <f t="shared" si="40"/>
        <v>December</v>
      </c>
      <c r="K851" s="9">
        <f t="shared" si="41"/>
        <v>0.74596703208456139</v>
      </c>
    </row>
    <row r="852" spans="1:11" x14ac:dyDescent="0.35">
      <c r="A852" s="2" t="s">
        <v>206</v>
      </c>
      <c r="B852" s="4" t="s">
        <v>157</v>
      </c>
      <c r="C852" s="2" t="s">
        <v>31</v>
      </c>
      <c r="D852" s="2" t="s">
        <v>28</v>
      </c>
      <c r="E852" s="2" t="s">
        <v>12</v>
      </c>
      <c r="F852" s="2">
        <v>33525.65</v>
      </c>
      <c r="G852" s="2">
        <v>6594.98</v>
      </c>
      <c r="H852" s="2">
        <v>6</v>
      </c>
      <c r="I852" s="2">
        <f t="shared" si="39"/>
        <v>26930.670000000002</v>
      </c>
      <c r="J852" s="2" t="str">
        <f t="shared" si="40"/>
        <v>December</v>
      </c>
      <c r="K852" s="9">
        <f t="shared" si="41"/>
        <v>0.80328554405358288</v>
      </c>
    </row>
    <row r="853" spans="1:11" x14ac:dyDescent="0.35">
      <c r="A853" s="2" t="s">
        <v>218</v>
      </c>
      <c r="B853" s="4" t="s">
        <v>219</v>
      </c>
      <c r="C853" s="2" t="s">
        <v>10</v>
      </c>
      <c r="D853" s="2" t="s">
        <v>28</v>
      </c>
      <c r="E853" s="2" t="s">
        <v>21</v>
      </c>
      <c r="F853" s="2">
        <v>19083.93</v>
      </c>
      <c r="G853" s="2">
        <v>1094.97</v>
      </c>
      <c r="H853" s="2">
        <v>13</v>
      </c>
      <c r="I853" s="2">
        <f t="shared" si="39"/>
        <v>17988.96</v>
      </c>
      <c r="J853" s="2" t="str">
        <f t="shared" si="40"/>
        <v>November</v>
      </c>
      <c r="K853" s="9">
        <f t="shared" si="41"/>
        <v>0.94262345334530151</v>
      </c>
    </row>
    <row r="854" spans="1:11" x14ac:dyDescent="0.35">
      <c r="A854" s="2" t="s">
        <v>220</v>
      </c>
      <c r="B854" s="4" t="s">
        <v>221</v>
      </c>
      <c r="C854" s="2" t="s">
        <v>27</v>
      </c>
      <c r="D854" s="2" t="s">
        <v>28</v>
      </c>
      <c r="E854" s="2" t="s">
        <v>17</v>
      </c>
      <c r="F854" s="2">
        <v>14577.96</v>
      </c>
      <c r="G854" s="2">
        <v>1981.42</v>
      </c>
      <c r="H854" s="2">
        <v>14</v>
      </c>
      <c r="I854" s="2">
        <f t="shared" si="39"/>
        <v>12596.539999999999</v>
      </c>
      <c r="J854" s="2" t="str">
        <f t="shared" si="40"/>
        <v>June</v>
      </c>
      <c r="K854" s="9">
        <f t="shared" si="41"/>
        <v>0.86408111971771084</v>
      </c>
    </row>
    <row r="855" spans="1:11" x14ac:dyDescent="0.35">
      <c r="A855" s="2" t="s">
        <v>239</v>
      </c>
      <c r="B855" s="4" t="s">
        <v>30</v>
      </c>
      <c r="C855" s="2" t="s">
        <v>31</v>
      </c>
      <c r="D855" s="2" t="s">
        <v>28</v>
      </c>
      <c r="E855" s="2" t="s">
        <v>12</v>
      </c>
      <c r="F855" s="2">
        <v>17181.060000000001</v>
      </c>
      <c r="G855" s="2">
        <v>3575.26</v>
      </c>
      <c r="H855" s="2">
        <v>8</v>
      </c>
      <c r="I855" s="2">
        <f t="shared" si="39"/>
        <v>13605.800000000001</v>
      </c>
      <c r="J855" s="2" t="str">
        <f t="shared" si="40"/>
        <v>June</v>
      </c>
      <c r="K855" s="9">
        <f t="shared" si="41"/>
        <v>0.79190690213525827</v>
      </c>
    </row>
    <row r="856" spans="1:11" x14ac:dyDescent="0.35">
      <c r="A856" s="2" t="s">
        <v>240</v>
      </c>
      <c r="B856" s="4" t="s">
        <v>241</v>
      </c>
      <c r="C856" s="2" t="s">
        <v>27</v>
      </c>
      <c r="D856" s="2" t="s">
        <v>28</v>
      </c>
      <c r="E856" s="2" t="s">
        <v>21</v>
      </c>
      <c r="F856" s="2">
        <v>15411.59</v>
      </c>
      <c r="G856" s="2">
        <v>1523.44</v>
      </c>
      <c r="H856" s="2">
        <v>2</v>
      </c>
      <c r="I856" s="2">
        <f t="shared" si="39"/>
        <v>13888.15</v>
      </c>
      <c r="J856" s="2" t="str">
        <f t="shared" si="40"/>
        <v>December</v>
      </c>
      <c r="K856" s="9">
        <f t="shared" si="41"/>
        <v>0.9011497191399459</v>
      </c>
    </row>
    <row r="857" spans="1:11" x14ac:dyDescent="0.35">
      <c r="A857" s="2" t="s">
        <v>244</v>
      </c>
      <c r="B857" s="4" t="s">
        <v>211</v>
      </c>
      <c r="C857" s="2" t="s">
        <v>31</v>
      </c>
      <c r="D857" s="2" t="s">
        <v>28</v>
      </c>
      <c r="E857" s="2" t="s">
        <v>17</v>
      </c>
      <c r="F857" s="2">
        <v>45637.5</v>
      </c>
      <c r="G857" s="2">
        <v>2701.98</v>
      </c>
      <c r="H857" s="2">
        <v>20</v>
      </c>
      <c r="I857" s="2">
        <f t="shared" si="39"/>
        <v>42935.519999999997</v>
      </c>
      <c r="J857" s="2" t="str">
        <f t="shared" si="40"/>
        <v>June</v>
      </c>
      <c r="K857" s="9">
        <f t="shared" si="41"/>
        <v>0.94079474116680351</v>
      </c>
    </row>
    <row r="858" spans="1:11" x14ac:dyDescent="0.35">
      <c r="A858" s="2" t="s">
        <v>251</v>
      </c>
      <c r="B858" s="4" t="s">
        <v>132</v>
      </c>
      <c r="C858" s="2" t="s">
        <v>31</v>
      </c>
      <c r="D858" s="2" t="s">
        <v>28</v>
      </c>
      <c r="E858" s="2" t="s">
        <v>21</v>
      </c>
      <c r="F858" s="2">
        <v>38631.39</v>
      </c>
      <c r="G858" s="2">
        <v>7347.22</v>
      </c>
      <c r="H858" s="2">
        <v>12</v>
      </c>
      <c r="I858" s="2">
        <f t="shared" si="39"/>
        <v>31284.17</v>
      </c>
      <c r="J858" s="2" t="str">
        <f t="shared" si="40"/>
        <v>January</v>
      </c>
      <c r="K858" s="9">
        <f t="shared" si="41"/>
        <v>0.80981217605682831</v>
      </c>
    </row>
    <row r="859" spans="1:11" x14ac:dyDescent="0.35">
      <c r="A859" s="2" t="s">
        <v>254</v>
      </c>
      <c r="B859" s="4" t="s">
        <v>243</v>
      </c>
      <c r="C859" s="2" t="s">
        <v>31</v>
      </c>
      <c r="D859" s="2" t="s">
        <v>28</v>
      </c>
      <c r="E859" s="2" t="s">
        <v>17</v>
      </c>
      <c r="F859" s="2">
        <v>37595.35</v>
      </c>
      <c r="G859" s="2">
        <v>8209.7800000000007</v>
      </c>
      <c r="H859" s="2">
        <v>19</v>
      </c>
      <c r="I859" s="2">
        <f t="shared" si="39"/>
        <v>29385.57</v>
      </c>
      <c r="J859" s="2" t="str">
        <f t="shared" si="40"/>
        <v>April</v>
      </c>
      <c r="K859" s="9">
        <f t="shared" si="41"/>
        <v>0.78162778109526843</v>
      </c>
    </row>
    <row r="860" spans="1:11" x14ac:dyDescent="0.35">
      <c r="A860" s="2" t="s">
        <v>259</v>
      </c>
      <c r="B860" s="4" t="s">
        <v>260</v>
      </c>
      <c r="C860" s="2" t="s">
        <v>27</v>
      </c>
      <c r="D860" s="2" t="s">
        <v>28</v>
      </c>
      <c r="E860" s="2" t="s">
        <v>21</v>
      </c>
      <c r="F860" s="2">
        <v>25425.91</v>
      </c>
      <c r="G860" s="2">
        <v>3764.8</v>
      </c>
      <c r="H860" s="2">
        <v>10</v>
      </c>
      <c r="I860" s="2">
        <f t="shared" si="39"/>
        <v>21661.11</v>
      </c>
      <c r="J860" s="2" t="str">
        <f t="shared" si="40"/>
        <v>December</v>
      </c>
      <c r="K860" s="9">
        <f t="shared" si="41"/>
        <v>0.85193057003662798</v>
      </c>
    </row>
    <row r="861" spans="1:11" x14ac:dyDescent="0.35">
      <c r="A861" s="2" t="s">
        <v>263</v>
      </c>
      <c r="B861" s="4" t="s">
        <v>121</v>
      </c>
      <c r="C861" s="2" t="s">
        <v>27</v>
      </c>
      <c r="D861" s="2" t="s">
        <v>28</v>
      </c>
      <c r="E861" s="2" t="s">
        <v>12</v>
      </c>
      <c r="F861" s="2">
        <v>7766.31</v>
      </c>
      <c r="G861" s="2">
        <v>2278.64</v>
      </c>
      <c r="H861" s="2">
        <v>18</v>
      </c>
      <c r="I861" s="2">
        <f t="shared" si="39"/>
        <v>5487.67</v>
      </c>
      <c r="J861" s="2" t="str">
        <f t="shared" si="40"/>
        <v>May</v>
      </c>
      <c r="K861" s="9">
        <f t="shared" si="41"/>
        <v>0.70659940177510294</v>
      </c>
    </row>
    <row r="862" spans="1:11" x14ac:dyDescent="0.35">
      <c r="A862" s="2" t="s">
        <v>278</v>
      </c>
      <c r="B862" s="4" t="s">
        <v>217</v>
      </c>
      <c r="C862" s="2" t="s">
        <v>27</v>
      </c>
      <c r="D862" s="2" t="s">
        <v>28</v>
      </c>
      <c r="E862" s="2" t="s">
        <v>21</v>
      </c>
      <c r="F862" s="2">
        <v>38805.96</v>
      </c>
      <c r="G862" s="2">
        <v>9575.11</v>
      </c>
      <c r="H862" s="2">
        <v>17</v>
      </c>
      <c r="I862" s="2">
        <f t="shared" si="39"/>
        <v>29230.85</v>
      </c>
      <c r="J862" s="2" t="str">
        <f t="shared" si="40"/>
        <v>July</v>
      </c>
      <c r="K862" s="9">
        <f t="shared" si="41"/>
        <v>0.75325671623637191</v>
      </c>
    </row>
    <row r="863" spans="1:11" x14ac:dyDescent="0.35">
      <c r="A863" s="2" t="s">
        <v>285</v>
      </c>
      <c r="B863" s="4" t="s">
        <v>286</v>
      </c>
      <c r="C863" s="2" t="s">
        <v>15</v>
      </c>
      <c r="D863" s="2" t="s">
        <v>28</v>
      </c>
      <c r="E863" s="2" t="s">
        <v>21</v>
      </c>
      <c r="F863" s="2">
        <v>35346.49</v>
      </c>
      <c r="G863" s="2">
        <v>3330.66</v>
      </c>
      <c r="H863" s="2">
        <v>20</v>
      </c>
      <c r="I863" s="2">
        <f t="shared" si="39"/>
        <v>32015.829999999998</v>
      </c>
      <c r="J863" s="2" t="str">
        <f t="shared" si="40"/>
        <v>November</v>
      </c>
      <c r="K863" s="9">
        <f t="shared" si="41"/>
        <v>0.90577112465763931</v>
      </c>
    </row>
    <row r="864" spans="1:11" x14ac:dyDescent="0.35">
      <c r="A864" s="2" t="s">
        <v>298</v>
      </c>
      <c r="B864" s="4" t="s">
        <v>277</v>
      </c>
      <c r="C864" s="2" t="s">
        <v>10</v>
      </c>
      <c r="D864" s="2" t="s">
        <v>28</v>
      </c>
      <c r="E864" s="2" t="s">
        <v>12</v>
      </c>
      <c r="F864" s="2">
        <v>16711.759999999998</v>
      </c>
      <c r="G864" s="2">
        <v>4407.05</v>
      </c>
      <c r="H864" s="2">
        <v>15</v>
      </c>
      <c r="I864" s="2">
        <f t="shared" si="39"/>
        <v>12304.71</v>
      </c>
      <c r="J864" s="2" t="str">
        <f t="shared" si="40"/>
        <v>February</v>
      </c>
      <c r="K864" s="9">
        <f t="shared" si="41"/>
        <v>0.73629049244364453</v>
      </c>
    </row>
    <row r="865" spans="1:11" x14ac:dyDescent="0.35">
      <c r="A865" s="2" t="s">
        <v>308</v>
      </c>
      <c r="B865" s="4" t="s">
        <v>309</v>
      </c>
      <c r="C865" s="2" t="s">
        <v>15</v>
      </c>
      <c r="D865" s="2" t="s">
        <v>28</v>
      </c>
      <c r="E865" s="2" t="s">
        <v>17</v>
      </c>
      <c r="F865" s="2">
        <v>31405.71</v>
      </c>
      <c r="G865" s="2">
        <v>7217.37</v>
      </c>
      <c r="H865" s="2">
        <v>5</v>
      </c>
      <c r="I865" s="2">
        <f t="shared" si="39"/>
        <v>24188.34</v>
      </c>
      <c r="J865" s="2" t="str">
        <f t="shared" si="40"/>
        <v>September</v>
      </c>
      <c r="K865" s="9">
        <f t="shared" si="41"/>
        <v>0.77018924265682898</v>
      </c>
    </row>
    <row r="866" spans="1:11" x14ac:dyDescent="0.35">
      <c r="A866" s="2" t="s">
        <v>312</v>
      </c>
      <c r="B866" s="4" t="s">
        <v>313</v>
      </c>
      <c r="C866" s="2" t="s">
        <v>27</v>
      </c>
      <c r="D866" s="2" t="s">
        <v>28</v>
      </c>
      <c r="E866" s="2" t="s">
        <v>17</v>
      </c>
      <c r="F866" s="2">
        <v>48811.44</v>
      </c>
      <c r="G866" s="2">
        <v>8761.89</v>
      </c>
      <c r="H866" s="2">
        <v>12</v>
      </c>
      <c r="I866" s="2">
        <f t="shared" si="39"/>
        <v>40049.550000000003</v>
      </c>
      <c r="J866" s="2" t="str">
        <f t="shared" si="40"/>
        <v>June</v>
      </c>
      <c r="K866" s="9">
        <f t="shared" si="41"/>
        <v>0.82049515441462084</v>
      </c>
    </row>
    <row r="867" spans="1:11" x14ac:dyDescent="0.35">
      <c r="A867" s="2" t="s">
        <v>320</v>
      </c>
      <c r="B867" s="4" t="s">
        <v>321</v>
      </c>
      <c r="C867" s="2" t="s">
        <v>15</v>
      </c>
      <c r="D867" s="2" t="s">
        <v>28</v>
      </c>
      <c r="E867" s="2" t="s">
        <v>12</v>
      </c>
      <c r="F867" s="2">
        <v>20342.25</v>
      </c>
      <c r="G867" s="2">
        <v>5196.6099999999997</v>
      </c>
      <c r="H867" s="2">
        <v>13</v>
      </c>
      <c r="I867" s="2">
        <f t="shared" si="39"/>
        <v>15145.64</v>
      </c>
      <c r="J867" s="2" t="str">
        <f t="shared" si="40"/>
        <v>September</v>
      </c>
      <c r="K867" s="9">
        <f t="shared" si="41"/>
        <v>0.74454104142855382</v>
      </c>
    </row>
    <row r="868" spans="1:11" x14ac:dyDescent="0.35">
      <c r="A868" s="2" t="s">
        <v>326</v>
      </c>
      <c r="B868" s="4" t="s">
        <v>327</v>
      </c>
      <c r="C868" s="2" t="s">
        <v>31</v>
      </c>
      <c r="D868" s="2" t="s">
        <v>28</v>
      </c>
      <c r="E868" s="2" t="s">
        <v>17</v>
      </c>
      <c r="F868" s="2">
        <v>27656.400000000001</v>
      </c>
      <c r="G868" s="2">
        <v>2092.7800000000002</v>
      </c>
      <c r="H868" s="2">
        <v>14</v>
      </c>
      <c r="I868" s="2">
        <f t="shared" si="39"/>
        <v>25563.620000000003</v>
      </c>
      <c r="J868" s="2" t="str">
        <f t="shared" si="40"/>
        <v>November</v>
      </c>
      <c r="K868" s="9">
        <f t="shared" si="41"/>
        <v>0.92432926917458536</v>
      </c>
    </row>
    <row r="869" spans="1:11" x14ac:dyDescent="0.35">
      <c r="A869" s="2" t="s">
        <v>330</v>
      </c>
      <c r="B869" s="4" t="s">
        <v>155</v>
      </c>
      <c r="C869" s="2" t="s">
        <v>27</v>
      </c>
      <c r="D869" s="2" t="s">
        <v>28</v>
      </c>
      <c r="E869" s="2" t="s">
        <v>12</v>
      </c>
      <c r="F869" s="2">
        <v>47397.42</v>
      </c>
      <c r="G869" s="2">
        <v>12655.36</v>
      </c>
      <c r="H869" s="2">
        <v>7</v>
      </c>
      <c r="I869" s="2">
        <f t="shared" si="39"/>
        <v>34742.06</v>
      </c>
      <c r="J869" s="2" t="str">
        <f t="shared" si="40"/>
        <v>July</v>
      </c>
      <c r="K869" s="9">
        <f t="shared" si="41"/>
        <v>0.73299474950324295</v>
      </c>
    </row>
    <row r="870" spans="1:11" x14ac:dyDescent="0.35">
      <c r="A870" s="2" t="s">
        <v>331</v>
      </c>
      <c r="B870" s="4" t="s">
        <v>332</v>
      </c>
      <c r="C870" s="2" t="s">
        <v>31</v>
      </c>
      <c r="D870" s="2" t="s">
        <v>28</v>
      </c>
      <c r="E870" s="2" t="s">
        <v>17</v>
      </c>
      <c r="F870" s="2">
        <v>44827.3</v>
      </c>
      <c r="G870" s="2">
        <v>9140.0400000000009</v>
      </c>
      <c r="H870" s="2">
        <v>5</v>
      </c>
      <c r="I870" s="2">
        <f t="shared" si="39"/>
        <v>35687.26</v>
      </c>
      <c r="J870" s="2" t="str">
        <f t="shared" si="40"/>
        <v>April</v>
      </c>
      <c r="K870" s="9">
        <f t="shared" si="41"/>
        <v>0.79610549821202703</v>
      </c>
    </row>
    <row r="871" spans="1:11" x14ac:dyDescent="0.35">
      <c r="A871" s="2" t="s">
        <v>343</v>
      </c>
      <c r="B871" s="4" t="s">
        <v>344</v>
      </c>
      <c r="C871" s="2" t="s">
        <v>10</v>
      </c>
      <c r="D871" s="2" t="s">
        <v>28</v>
      </c>
      <c r="E871" s="2" t="s">
        <v>21</v>
      </c>
      <c r="F871" s="2">
        <v>10228.52</v>
      </c>
      <c r="G871" s="2">
        <v>1395.21</v>
      </c>
      <c r="H871" s="2">
        <v>18</v>
      </c>
      <c r="I871" s="2">
        <f t="shared" si="39"/>
        <v>8833.3100000000013</v>
      </c>
      <c r="J871" s="2" t="str">
        <f t="shared" si="40"/>
        <v>June</v>
      </c>
      <c r="K871" s="9">
        <f t="shared" si="41"/>
        <v>0.86359610187984193</v>
      </c>
    </row>
    <row r="872" spans="1:11" x14ac:dyDescent="0.35">
      <c r="A872" s="2" t="s">
        <v>349</v>
      </c>
      <c r="B872" s="4" t="s">
        <v>350</v>
      </c>
      <c r="C872" s="2" t="s">
        <v>31</v>
      </c>
      <c r="D872" s="2" t="s">
        <v>28</v>
      </c>
      <c r="E872" s="2" t="s">
        <v>17</v>
      </c>
      <c r="F872" s="2">
        <v>3009.58</v>
      </c>
      <c r="G872" s="2">
        <v>349.32</v>
      </c>
      <c r="H872" s="2">
        <v>6</v>
      </c>
      <c r="I872" s="2">
        <f t="shared" si="39"/>
        <v>2660.2599999999998</v>
      </c>
      <c r="J872" s="2" t="str">
        <f t="shared" si="40"/>
        <v>March</v>
      </c>
      <c r="K872" s="9">
        <f t="shared" si="41"/>
        <v>0.88393064813030386</v>
      </c>
    </row>
    <row r="873" spans="1:11" x14ac:dyDescent="0.35">
      <c r="A873" s="2" t="s">
        <v>352</v>
      </c>
      <c r="B873" s="4" t="s">
        <v>353</v>
      </c>
      <c r="C873" s="2" t="s">
        <v>31</v>
      </c>
      <c r="D873" s="2" t="s">
        <v>28</v>
      </c>
      <c r="E873" s="2" t="s">
        <v>12</v>
      </c>
      <c r="F873" s="2">
        <v>38450.79</v>
      </c>
      <c r="G873" s="2">
        <v>4482.99</v>
      </c>
      <c r="H873" s="2">
        <v>18</v>
      </c>
      <c r="I873" s="2">
        <f t="shared" si="39"/>
        <v>33967.800000000003</v>
      </c>
      <c r="J873" s="2" t="str">
        <f t="shared" si="40"/>
        <v>May</v>
      </c>
      <c r="K873" s="9">
        <f t="shared" si="41"/>
        <v>0.8834096776685213</v>
      </c>
    </row>
    <row r="874" spans="1:11" x14ac:dyDescent="0.35">
      <c r="A874" s="2" t="s">
        <v>363</v>
      </c>
      <c r="B874" s="4" t="s">
        <v>364</v>
      </c>
      <c r="C874" s="2" t="s">
        <v>15</v>
      </c>
      <c r="D874" s="2" t="s">
        <v>28</v>
      </c>
      <c r="E874" s="2" t="s">
        <v>21</v>
      </c>
      <c r="F874" s="2">
        <v>8391.06</v>
      </c>
      <c r="G874" s="2">
        <v>909.07</v>
      </c>
      <c r="H874" s="2">
        <v>12</v>
      </c>
      <c r="I874" s="2">
        <f t="shared" si="39"/>
        <v>7481.99</v>
      </c>
      <c r="J874" s="2" t="str">
        <f t="shared" si="40"/>
        <v>April</v>
      </c>
      <c r="K874" s="9">
        <f t="shared" si="41"/>
        <v>0.8916620784501601</v>
      </c>
    </row>
    <row r="875" spans="1:11" x14ac:dyDescent="0.35">
      <c r="A875" s="2" t="s">
        <v>398</v>
      </c>
      <c r="B875" s="4" t="s">
        <v>399</v>
      </c>
      <c r="C875" s="2" t="s">
        <v>15</v>
      </c>
      <c r="D875" s="2" t="s">
        <v>28</v>
      </c>
      <c r="E875" s="2" t="s">
        <v>17</v>
      </c>
      <c r="F875" s="2">
        <v>28323.69</v>
      </c>
      <c r="G875" s="2">
        <v>7083.14</v>
      </c>
      <c r="H875" s="2">
        <v>12</v>
      </c>
      <c r="I875" s="2">
        <f t="shared" si="39"/>
        <v>21240.55</v>
      </c>
      <c r="J875" s="2" t="str">
        <f t="shared" si="40"/>
        <v>June</v>
      </c>
      <c r="K875" s="9">
        <f t="shared" si="41"/>
        <v>0.74992170864742558</v>
      </c>
    </row>
    <row r="876" spans="1:11" x14ac:dyDescent="0.35">
      <c r="A876" s="2" t="s">
        <v>409</v>
      </c>
      <c r="B876" s="4" t="s">
        <v>172</v>
      </c>
      <c r="C876" s="2" t="s">
        <v>15</v>
      </c>
      <c r="D876" s="2" t="s">
        <v>28</v>
      </c>
      <c r="E876" s="2" t="s">
        <v>17</v>
      </c>
      <c r="F876" s="2">
        <v>8469.3700000000008</v>
      </c>
      <c r="G876" s="2">
        <v>1657.09</v>
      </c>
      <c r="H876" s="2">
        <v>20</v>
      </c>
      <c r="I876" s="2">
        <f t="shared" si="39"/>
        <v>6812.2800000000007</v>
      </c>
      <c r="J876" s="2" t="str">
        <f t="shared" si="40"/>
        <v>August</v>
      </c>
      <c r="K876" s="9">
        <f t="shared" si="41"/>
        <v>0.8043431801893175</v>
      </c>
    </row>
    <row r="877" spans="1:11" x14ac:dyDescent="0.35">
      <c r="A877" s="2" t="s">
        <v>424</v>
      </c>
      <c r="B877" s="4" t="s">
        <v>30</v>
      </c>
      <c r="C877" s="2" t="s">
        <v>27</v>
      </c>
      <c r="D877" s="2" t="s">
        <v>28</v>
      </c>
      <c r="E877" s="2" t="s">
        <v>21</v>
      </c>
      <c r="F877" s="2">
        <v>38104.18</v>
      </c>
      <c r="G877" s="2">
        <v>3955.67</v>
      </c>
      <c r="H877" s="2">
        <v>16</v>
      </c>
      <c r="I877" s="2">
        <f t="shared" si="39"/>
        <v>34148.51</v>
      </c>
      <c r="J877" s="2" t="str">
        <f t="shared" si="40"/>
        <v>June</v>
      </c>
      <c r="K877" s="9">
        <f t="shared" si="41"/>
        <v>0.89618802976471357</v>
      </c>
    </row>
    <row r="878" spans="1:11" x14ac:dyDescent="0.35">
      <c r="A878" s="2" t="s">
        <v>429</v>
      </c>
      <c r="B878" s="4" t="s">
        <v>215</v>
      </c>
      <c r="C878" s="2" t="s">
        <v>15</v>
      </c>
      <c r="D878" s="2" t="s">
        <v>28</v>
      </c>
      <c r="E878" s="2" t="s">
        <v>12</v>
      </c>
      <c r="F878" s="2">
        <v>27250.47</v>
      </c>
      <c r="G878" s="2">
        <v>6291.46</v>
      </c>
      <c r="H878" s="2">
        <v>7</v>
      </c>
      <c r="I878" s="2">
        <f t="shared" si="39"/>
        <v>20959.010000000002</v>
      </c>
      <c r="J878" s="2" t="str">
        <f t="shared" si="40"/>
        <v>October</v>
      </c>
      <c r="K878" s="9">
        <f t="shared" si="41"/>
        <v>0.76912471601407251</v>
      </c>
    </row>
    <row r="879" spans="1:11" x14ac:dyDescent="0.35">
      <c r="A879" s="2" t="s">
        <v>432</v>
      </c>
      <c r="B879" s="4" t="s">
        <v>130</v>
      </c>
      <c r="C879" s="2" t="s">
        <v>10</v>
      </c>
      <c r="D879" s="2" t="s">
        <v>28</v>
      </c>
      <c r="E879" s="2" t="s">
        <v>21</v>
      </c>
      <c r="F879" s="2">
        <v>5600.94</v>
      </c>
      <c r="G879" s="2">
        <v>548.49</v>
      </c>
      <c r="H879" s="2">
        <v>12</v>
      </c>
      <c r="I879" s="2">
        <f t="shared" si="39"/>
        <v>5052.45</v>
      </c>
      <c r="J879" s="2" t="str">
        <f t="shared" si="40"/>
        <v>August</v>
      </c>
      <c r="K879" s="9">
        <f t="shared" si="41"/>
        <v>0.90207179509153823</v>
      </c>
    </row>
    <row r="880" spans="1:11" x14ac:dyDescent="0.35">
      <c r="A880" s="2" t="s">
        <v>433</v>
      </c>
      <c r="B880" s="4" t="s">
        <v>292</v>
      </c>
      <c r="C880" s="2" t="s">
        <v>27</v>
      </c>
      <c r="D880" s="2" t="s">
        <v>28</v>
      </c>
      <c r="E880" s="2" t="s">
        <v>12</v>
      </c>
      <c r="F880" s="2">
        <v>21529.67</v>
      </c>
      <c r="G880" s="2">
        <v>1480.5</v>
      </c>
      <c r="H880" s="2">
        <v>4</v>
      </c>
      <c r="I880" s="2">
        <f t="shared" si="39"/>
        <v>20049.169999999998</v>
      </c>
      <c r="J880" s="2" t="str">
        <f t="shared" si="40"/>
        <v>July</v>
      </c>
      <c r="K880" s="9">
        <f t="shared" si="41"/>
        <v>0.93123443136843254</v>
      </c>
    </row>
    <row r="881" spans="1:11" x14ac:dyDescent="0.35">
      <c r="A881" s="2" t="s">
        <v>434</v>
      </c>
      <c r="B881" s="4" t="s">
        <v>435</v>
      </c>
      <c r="C881" s="2" t="s">
        <v>31</v>
      </c>
      <c r="D881" s="2" t="s">
        <v>28</v>
      </c>
      <c r="E881" s="2" t="s">
        <v>17</v>
      </c>
      <c r="F881" s="2">
        <v>40111.79</v>
      </c>
      <c r="G881" s="2">
        <v>10286.969999999999</v>
      </c>
      <c r="H881" s="2">
        <v>7</v>
      </c>
      <c r="I881" s="2">
        <f t="shared" si="39"/>
        <v>29824.82</v>
      </c>
      <c r="J881" s="2" t="str">
        <f t="shared" si="40"/>
        <v>June</v>
      </c>
      <c r="K881" s="9">
        <f t="shared" si="41"/>
        <v>0.74354248464104944</v>
      </c>
    </row>
    <row r="882" spans="1:11" x14ac:dyDescent="0.35">
      <c r="A882" s="2" t="s">
        <v>448</v>
      </c>
      <c r="B882" s="4" t="s">
        <v>105</v>
      </c>
      <c r="C882" s="2" t="s">
        <v>31</v>
      </c>
      <c r="D882" s="2" t="s">
        <v>28</v>
      </c>
      <c r="E882" s="2" t="s">
        <v>21</v>
      </c>
      <c r="F882" s="2">
        <v>36753.03</v>
      </c>
      <c r="G882" s="2">
        <v>1919.61</v>
      </c>
      <c r="H882" s="2">
        <v>8</v>
      </c>
      <c r="I882" s="2">
        <f t="shared" si="39"/>
        <v>34833.42</v>
      </c>
      <c r="J882" s="2" t="str">
        <f t="shared" si="40"/>
        <v>September</v>
      </c>
      <c r="K882" s="9">
        <f t="shared" si="41"/>
        <v>0.94777002059422033</v>
      </c>
    </row>
    <row r="883" spans="1:11" x14ac:dyDescent="0.35">
      <c r="A883" s="2" t="s">
        <v>477</v>
      </c>
      <c r="B883" s="4" t="s">
        <v>375</v>
      </c>
      <c r="C883" s="2" t="s">
        <v>15</v>
      </c>
      <c r="D883" s="2" t="s">
        <v>28</v>
      </c>
      <c r="E883" s="2" t="s">
        <v>21</v>
      </c>
      <c r="F883" s="2">
        <v>17608.240000000002</v>
      </c>
      <c r="G883" s="2">
        <v>1855.43</v>
      </c>
      <c r="H883" s="2">
        <v>1</v>
      </c>
      <c r="I883" s="2">
        <f t="shared" si="39"/>
        <v>15752.810000000001</v>
      </c>
      <c r="J883" s="2" t="str">
        <f t="shared" si="40"/>
        <v>October</v>
      </c>
      <c r="K883" s="9">
        <f t="shared" si="41"/>
        <v>0.89462717455009699</v>
      </c>
    </row>
    <row r="884" spans="1:11" x14ac:dyDescent="0.35">
      <c r="A884" s="2" t="s">
        <v>493</v>
      </c>
      <c r="B884" s="4" t="s">
        <v>494</v>
      </c>
      <c r="C884" s="2" t="s">
        <v>27</v>
      </c>
      <c r="D884" s="2" t="s">
        <v>28</v>
      </c>
      <c r="E884" s="2" t="s">
        <v>12</v>
      </c>
      <c r="F884" s="2">
        <v>45280.84</v>
      </c>
      <c r="G884" s="2">
        <v>9028.5400000000009</v>
      </c>
      <c r="H884" s="2">
        <v>8</v>
      </c>
      <c r="I884" s="2">
        <f t="shared" si="39"/>
        <v>36252.299999999996</v>
      </c>
      <c r="J884" s="2" t="str">
        <f t="shared" si="40"/>
        <v>September</v>
      </c>
      <c r="K884" s="9">
        <f t="shared" si="41"/>
        <v>0.80061014769160643</v>
      </c>
    </row>
    <row r="885" spans="1:11" x14ac:dyDescent="0.35">
      <c r="A885" s="2" t="s">
        <v>495</v>
      </c>
      <c r="B885" s="4" t="s">
        <v>496</v>
      </c>
      <c r="C885" s="2" t="s">
        <v>10</v>
      </c>
      <c r="D885" s="2" t="s">
        <v>28</v>
      </c>
      <c r="E885" s="2" t="s">
        <v>21</v>
      </c>
      <c r="F885" s="2">
        <v>21498.22</v>
      </c>
      <c r="G885" s="2">
        <v>2064.34</v>
      </c>
      <c r="H885" s="2">
        <v>14</v>
      </c>
      <c r="I885" s="2">
        <f t="shared" si="39"/>
        <v>19433.88</v>
      </c>
      <c r="J885" s="2" t="str">
        <f t="shared" si="40"/>
        <v>January</v>
      </c>
      <c r="K885" s="9">
        <f t="shared" si="41"/>
        <v>0.90397623617211098</v>
      </c>
    </row>
    <row r="886" spans="1:11" x14ac:dyDescent="0.35">
      <c r="A886" s="2" t="s">
        <v>500</v>
      </c>
      <c r="B886" s="4" t="s">
        <v>404</v>
      </c>
      <c r="C886" s="2" t="s">
        <v>10</v>
      </c>
      <c r="D886" s="2" t="s">
        <v>28</v>
      </c>
      <c r="E886" s="2" t="s">
        <v>12</v>
      </c>
      <c r="F886" s="2">
        <v>14122.14</v>
      </c>
      <c r="G886" s="2">
        <v>2822.89</v>
      </c>
      <c r="H886" s="2">
        <v>10</v>
      </c>
      <c r="I886" s="2">
        <f t="shared" si="39"/>
        <v>11299.25</v>
      </c>
      <c r="J886" s="2" t="str">
        <f t="shared" si="40"/>
        <v>December</v>
      </c>
      <c r="K886" s="9">
        <f t="shared" si="41"/>
        <v>0.80010890700701176</v>
      </c>
    </row>
    <row r="887" spans="1:11" x14ac:dyDescent="0.35">
      <c r="A887" s="2" t="s">
        <v>518</v>
      </c>
      <c r="B887" s="4" t="s">
        <v>290</v>
      </c>
      <c r="C887" s="2" t="s">
        <v>27</v>
      </c>
      <c r="D887" s="2" t="s">
        <v>28</v>
      </c>
      <c r="E887" s="2" t="s">
        <v>21</v>
      </c>
      <c r="F887" s="2">
        <v>44502.31</v>
      </c>
      <c r="G887" s="2">
        <v>11505.28</v>
      </c>
      <c r="H887" s="2">
        <v>2</v>
      </c>
      <c r="I887" s="2">
        <f t="shared" si="39"/>
        <v>32997.03</v>
      </c>
      <c r="J887" s="2" t="str">
        <f t="shared" si="40"/>
        <v>October</v>
      </c>
      <c r="K887" s="9">
        <f t="shared" si="41"/>
        <v>0.7414678024578949</v>
      </c>
    </row>
    <row r="888" spans="1:11" x14ac:dyDescent="0.35">
      <c r="A888" s="2" t="s">
        <v>544</v>
      </c>
      <c r="B888" s="4" t="s">
        <v>545</v>
      </c>
      <c r="C888" s="2" t="s">
        <v>27</v>
      </c>
      <c r="D888" s="2" t="s">
        <v>28</v>
      </c>
      <c r="E888" s="2" t="s">
        <v>21</v>
      </c>
      <c r="F888" s="2">
        <v>42599.92</v>
      </c>
      <c r="G888" s="2">
        <v>11863.17</v>
      </c>
      <c r="H888" s="2">
        <v>4</v>
      </c>
      <c r="I888" s="2">
        <f t="shared" si="39"/>
        <v>30736.75</v>
      </c>
      <c r="J888" s="2" t="str">
        <f t="shared" si="40"/>
        <v>November</v>
      </c>
      <c r="K888" s="9">
        <f t="shared" si="41"/>
        <v>0.72152130802123571</v>
      </c>
    </row>
    <row r="889" spans="1:11" x14ac:dyDescent="0.35">
      <c r="A889" s="2" t="s">
        <v>556</v>
      </c>
      <c r="B889" s="4" t="s">
        <v>75</v>
      </c>
      <c r="C889" s="2" t="s">
        <v>10</v>
      </c>
      <c r="D889" s="2" t="s">
        <v>28</v>
      </c>
      <c r="E889" s="2" t="s">
        <v>12</v>
      </c>
      <c r="F889" s="2">
        <v>8943.92</v>
      </c>
      <c r="G889" s="2">
        <v>1661.93</v>
      </c>
      <c r="H889" s="2">
        <v>5</v>
      </c>
      <c r="I889" s="2">
        <f t="shared" si="39"/>
        <v>7281.99</v>
      </c>
      <c r="J889" s="2" t="str">
        <f t="shared" si="40"/>
        <v>April</v>
      </c>
      <c r="K889" s="9">
        <f t="shared" si="41"/>
        <v>0.81418326639773164</v>
      </c>
    </row>
    <row r="890" spans="1:11" x14ac:dyDescent="0.35">
      <c r="A890" s="2" t="s">
        <v>562</v>
      </c>
      <c r="B890" s="4" t="s">
        <v>144</v>
      </c>
      <c r="C890" s="2" t="s">
        <v>31</v>
      </c>
      <c r="D890" s="2" t="s">
        <v>28</v>
      </c>
      <c r="E890" s="2" t="s">
        <v>12</v>
      </c>
      <c r="F890" s="2">
        <v>13391.51</v>
      </c>
      <c r="G890" s="2">
        <v>2931.56</v>
      </c>
      <c r="H890" s="2">
        <v>10</v>
      </c>
      <c r="I890" s="2">
        <f t="shared" si="39"/>
        <v>10459.950000000001</v>
      </c>
      <c r="J890" s="2" t="str">
        <f t="shared" si="40"/>
        <v>August</v>
      </c>
      <c r="K890" s="9">
        <f t="shared" si="41"/>
        <v>0.78108816705509687</v>
      </c>
    </row>
    <row r="891" spans="1:11" x14ac:dyDescent="0.35">
      <c r="A891" s="2" t="s">
        <v>569</v>
      </c>
      <c r="B891" s="4" t="s">
        <v>570</v>
      </c>
      <c r="C891" s="2" t="s">
        <v>10</v>
      </c>
      <c r="D891" s="2" t="s">
        <v>28</v>
      </c>
      <c r="E891" s="2" t="s">
        <v>21</v>
      </c>
      <c r="F891" s="2">
        <v>38163.82</v>
      </c>
      <c r="G891" s="2">
        <v>3117.32</v>
      </c>
      <c r="H891" s="2">
        <v>15</v>
      </c>
      <c r="I891" s="2">
        <f t="shared" si="39"/>
        <v>35046.5</v>
      </c>
      <c r="J891" s="2" t="str">
        <f t="shared" si="40"/>
        <v>July</v>
      </c>
      <c r="K891" s="9">
        <f t="shared" si="41"/>
        <v>0.91831740114066152</v>
      </c>
    </row>
    <row r="892" spans="1:11" x14ac:dyDescent="0.35">
      <c r="A892" s="2" t="s">
        <v>586</v>
      </c>
      <c r="B892" s="4" t="s">
        <v>75</v>
      </c>
      <c r="C892" s="2" t="s">
        <v>27</v>
      </c>
      <c r="D892" s="2" t="s">
        <v>28</v>
      </c>
      <c r="E892" s="2" t="s">
        <v>21</v>
      </c>
      <c r="F892" s="2">
        <v>29139.29</v>
      </c>
      <c r="G892" s="2">
        <v>4677.01</v>
      </c>
      <c r="H892" s="2">
        <v>4</v>
      </c>
      <c r="I892" s="2">
        <f t="shared" si="39"/>
        <v>24462.28</v>
      </c>
      <c r="J892" s="2" t="str">
        <f t="shared" si="40"/>
        <v>April</v>
      </c>
      <c r="K892" s="9">
        <f t="shared" si="41"/>
        <v>0.83949471658369157</v>
      </c>
    </row>
    <row r="893" spans="1:11" x14ac:dyDescent="0.35">
      <c r="A893" s="2" t="s">
        <v>588</v>
      </c>
      <c r="B893" s="4" t="s">
        <v>589</v>
      </c>
      <c r="C893" s="2" t="s">
        <v>10</v>
      </c>
      <c r="D893" s="2" t="s">
        <v>28</v>
      </c>
      <c r="E893" s="2" t="s">
        <v>17</v>
      </c>
      <c r="F893" s="2">
        <v>33539.51</v>
      </c>
      <c r="G893" s="2">
        <v>3794.39</v>
      </c>
      <c r="H893" s="2">
        <v>10</v>
      </c>
      <c r="I893" s="2">
        <f t="shared" si="39"/>
        <v>29745.120000000003</v>
      </c>
      <c r="J893" s="2" t="str">
        <f t="shared" si="40"/>
        <v>November</v>
      </c>
      <c r="K893" s="9">
        <f t="shared" si="41"/>
        <v>0.88686805501928923</v>
      </c>
    </row>
    <row r="894" spans="1:11" x14ac:dyDescent="0.35">
      <c r="A894" s="2" t="s">
        <v>605</v>
      </c>
      <c r="B894" s="4" t="s">
        <v>311</v>
      </c>
      <c r="C894" s="2" t="s">
        <v>31</v>
      </c>
      <c r="D894" s="2" t="s">
        <v>28</v>
      </c>
      <c r="E894" s="2" t="s">
        <v>17</v>
      </c>
      <c r="F894" s="2">
        <v>49940.45</v>
      </c>
      <c r="G894" s="2">
        <v>3104.14</v>
      </c>
      <c r="H894" s="2">
        <v>15</v>
      </c>
      <c r="I894" s="2">
        <f t="shared" si="39"/>
        <v>46836.31</v>
      </c>
      <c r="J894" s="2" t="str">
        <f t="shared" si="40"/>
        <v>June</v>
      </c>
      <c r="K894" s="9">
        <f t="shared" si="41"/>
        <v>0.9378431712169194</v>
      </c>
    </row>
    <row r="895" spans="1:11" x14ac:dyDescent="0.35">
      <c r="A895" s="2" t="s">
        <v>616</v>
      </c>
      <c r="B895" s="4" t="s">
        <v>559</v>
      </c>
      <c r="C895" s="2" t="s">
        <v>15</v>
      </c>
      <c r="D895" s="2" t="s">
        <v>28</v>
      </c>
      <c r="E895" s="2" t="s">
        <v>12</v>
      </c>
      <c r="F895" s="2">
        <v>11992.71</v>
      </c>
      <c r="G895" s="2">
        <v>2082.41</v>
      </c>
      <c r="H895" s="2">
        <v>14</v>
      </c>
      <c r="I895" s="2">
        <f t="shared" si="39"/>
        <v>9910.2999999999993</v>
      </c>
      <c r="J895" s="2" t="str">
        <f t="shared" si="40"/>
        <v>January</v>
      </c>
      <c r="K895" s="9">
        <f t="shared" si="41"/>
        <v>0.8263603472442842</v>
      </c>
    </row>
    <row r="896" spans="1:11" x14ac:dyDescent="0.35">
      <c r="A896" s="2" t="s">
        <v>631</v>
      </c>
      <c r="B896" s="4" t="s">
        <v>26</v>
      </c>
      <c r="C896" s="2" t="s">
        <v>10</v>
      </c>
      <c r="D896" s="2" t="s">
        <v>28</v>
      </c>
      <c r="E896" s="2" t="s">
        <v>12</v>
      </c>
      <c r="F896" s="2">
        <v>26904.02</v>
      </c>
      <c r="G896" s="2">
        <v>7389.62</v>
      </c>
      <c r="H896" s="2">
        <v>5</v>
      </c>
      <c r="I896" s="2">
        <f t="shared" si="39"/>
        <v>19514.400000000001</v>
      </c>
      <c r="J896" s="2" t="str">
        <f t="shared" si="40"/>
        <v>September</v>
      </c>
      <c r="K896" s="9">
        <f t="shared" si="41"/>
        <v>0.72533398354595335</v>
      </c>
    </row>
    <row r="897" spans="1:11" x14ac:dyDescent="0.35">
      <c r="A897" s="2" t="s">
        <v>633</v>
      </c>
      <c r="B897" s="4" t="s">
        <v>628</v>
      </c>
      <c r="C897" s="2" t="s">
        <v>10</v>
      </c>
      <c r="D897" s="2" t="s">
        <v>28</v>
      </c>
      <c r="E897" s="2" t="s">
        <v>12</v>
      </c>
      <c r="F897" s="2">
        <v>23500.35</v>
      </c>
      <c r="G897" s="2">
        <v>2277.5500000000002</v>
      </c>
      <c r="H897" s="2">
        <v>17</v>
      </c>
      <c r="I897" s="2">
        <f t="shared" si="39"/>
        <v>21222.799999999999</v>
      </c>
      <c r="J897" s="2" t="str">
        <f t="shared" si="40"/>
        <v>February</v>
      </c>
      <c r="K897" s="9">
        <f t="shared" si="41"/>
        <v>0.90308442214690421</v>
      </c>
    </row>
    <row r="898" spans="1:11" x14ac:dyDescent="0.35">
      <c r="A898" s="2" t="s">
        <v>659</v>
      </c>
      <c r="B898" s="4" t="s">
        <v>660</v>
      </c>
      <c r="C898" s="2" t="s">
        <v>31</v>
      </c>
      <c r="D898" s="2" t="s">
        <v>28</v>
      </c>
      <c r="E898" s="2" t="s">
        <v>17</v>
      </c>
      <c r="F898" s="2">
        <v>20985.67</v>
      </c>
      <c r="G898" s="2">
        <v>2862.36</v>
      </c>
      <c r="H898" s="2">
        <v>9</v>
      </c>
      <c r="I898" s="2">
        <f t="shared" ref="I898:I961" si="42">(F898-G898)</f>
        <v>18123.309999999998</v>
      </c>
      <c r="J898" s="2" t="str">
        <f t="shared" ref="J898:J961" si="43">TEXT(B898,"mmmm")</f>
        <v>October</v>
      </c>
      <c r="K898" s="9">
        <f t="shared" ref="K898:K961" si="44">(F898-G898)/F898</f>
        <v>0.86360406887175867</v>
      </c>
    </row>
    <row r="899" spans="1:11" x14ac:dyDescent="0.35">
      <c r="A899" s="2" t="s">
        <v>664</v>
      </c>
      <c r="B899" s="4" t="s">
        <v>576</v>
      </c>
      <c r="C899" s="2" t="s">
        <v>15</v>
      </c>
      <c r="D899" s="2" t="s">
        <v>28</v>
      </c>
      <c r="E899" s="2" t="s">
        <v>12</v>
      </c>
      <c r="F899" s="2">
        <v>13560.41</v>
      </c>
      <c r="G899" s="2">
        <v>1475.16</v>
      </c>
      <c r="H899" s="2">
        <v>16</v>
      </c>
      <c r="I899" s="2">
        <f t="shared" si="42"/>
        <v>12085.25</v>
      </c>
      <c r="J899" s="2" t="str">
        <f t="shared" si="43"/>
        <v>March</v>
      </c>
      <c r="K899" s="9">
        <f t="shared" si="44"/>
        <v>0.8912156785819898</v>
      </c>
    </row>
    <row r="900" spans="1:11" x14ac:dyDescent="0.35">
      <c r="A900" s="2" t="s">
        <v>671</v>
      </c>
      <c r="B900" s="4" t="s">
        <v>257</v>
      </c>
      <c r="C900" s="2" t="s">
        <v>27</v>
      </c>
      <c r="D900" s="2" t="s">
        <v>28</v>
      </c>
      <c r="E900" s="2" t="s">
        <v>12</v>
      </c>
      <c r="F900" s="2">
        <v>21403.73</v>
      </c>
      <c r="G900" s="2">
        <v>3690.25</v>
      </c>
      <c r="H900" s="2">
        <v>5</v>
      </c>
      <c r="I900" s="2">
        <f t="shared" si="42"/>
        <v>17713.48</v>
      </c>
      <c r="J900" s="2" t="str">
        <f t="shared" si="43"/>
        <v>July</v>
      </c>
      <c r="K900" s="9">
        <f t="shared" si="44"/>
        <v>0.82758846238482731</v>
      </c>
    </row>
    <row r="901" spans="1:11" x14ac:dyDescent="0.35">
      <c r="A901" s="2" t="s">
        <v>678</v>
      </c>
      <c r="B901" s="4" t="s">
        <v>615</v>
      </c>
      <c r="C901" s="2" t="s">
        <v>27</v>
      </c>
      <c r="D901" s="2" t="s">
        <v>28</v>
      </c>
      <c r="E901" s="2" t="s">
        <v>17</v>
      </c>
      <c r="F901" s="2">
        <v>9145.15</v>
      </c>
      <c r="G901" s="2">
        <v>982.35</v>
      </c>
      <c r="H901" s="2">
        <v>10</v>
      </c>
      <c r="I901" s="2">
        <f t="shared" si="42"/>
        <v>8162.7999999999993</v>
      </c>
      <c r="J901" s="2" t="str">
        <f t="shared" si="43"/>
        <v>November</v>
      </c>
      <c r="K901" s="9">
        <f t="shared" si="44"/>
        <v>0.89258240706822733</v>
      </c>
    </row>
    <row r="902" spans="1:11" x14ac:dyDescent="0.35">
      <c r="A902" s="2" t="s">
        <v>681</v>
      </c>
      <c r="B902" s="4" t="s">
        <v>682</v>
      </c>
      <c r="C902" s="2" t="s">
        <v>27</v>
      </c>
      <c r="D902" s="2" t="s">
        <v>28</v>
      </c>
      <c r="E902" s="2" t="s">
        <v>17</v>
      </c>
      <c r="F902" s="2">
        <v>26738.94</v>
      </c>
      <c r="G902" s="2">
        <v>7884.3</v>
      </c>
      <c r="H902" s="2">
        <v>4</v>
      </c>
      <c r="I902" s="2">
        <f t="shared" si="42"/>
        <v>18854.64</v>
      </c>
      <c r="J902" s="2" t="str">
        <f t="shared" si="43"/>
        <v>February</v>
      </c>
      <c r="K902" s="9">
        <f t="shared" si="44"/>
        <v>0.70513790000650733</v>
      </c>
    </row>
    <row r="903" spans="1:11" x14ac:dyDescent="0.35">
      <c r="A903" s="2" t="s">
        <v>690</v>
      </c>
      <c r="B903" s="4" t="s">
        <v>604</v>
      </c>
      <c r="C903" s="2" t="s">
        <v>15</v>
      </c>
      <c r="D903" s="2" t="s">
        <v>28</v>
      </c>
      <c r="E903" s="2" t="s">
        <v>12</v>
      </c>
      <c r="F903" s="2">
        <v>15173.03</v>
      </c>
      <c r="G903" s="2">
        <v>4425.24</v>
      </c>
      <c r="H903" s="2">
        <v>19</v>
      </c>
      <c r="I903" s="2">
        <f t="shared" si="42"/>
        <v>10747.79</v>
      </c>
      <c r="J903" s="2" t="str">
        <f t="shared" si="43"/>
        <v>October</v>
      </c>
      <c r="K903" s="9">
        <f t="shared" si="44"/>
        <v>0.7083482995815602</v>
      </c>
    </row>
    <row r="904" spans="1:11" x14ac:dyDescent="0.35">
      <c r="A904" s="2" t="s">
        <v>699</v>
      </c>
      <c r="B904" s="4" t="s">
        <v>358</v>
      </c>
      <c r="C904" s="2" t="s">
        <v>27</v>
      </c>
      <c r="D904" s="2" t="s">
        <v>28</v>
      </c>
      <c r="E904" s="2" t="s">
        <v>17</v>
      </c>
      <c r="F904" s="2">
        <v>29608.36</v>
      </c>
      <c r="G904" s="2">
        <v>8454.7199999999993</v>
      </c>
      <c r="H904" s="2">
        <v>1</v>
      </c>
      <c r="I904" s="2">
        <f t="shared" si="42"/>
        <v>21153.64</v>
      </c>
      <c r="J904" s="2" t="str">
        <f t="shared" si="43"/>
        <v>September</v>
      </c>
      <c r="K904" s="9">
        <f t="shared" si="44"/>
        <v>0.71444821665232383</v>
      </c>
    </row>
    <row r="905" spans="1:11" x14ac:dyDescent="0.35">
      <c r="A905" s="2" t="s">
        <v>701</v>
      </c>
      <c r="B905" s="4" t="s">
        <v>132</v>
      </c>
      <c r="C905" s="2" t="s">
        <v>15</v>
      </c>
      <c r="D905" s="2" t="s">
        <v>28</v>
      </c>
      <c r="E905" s="2" t="s">
        <v>17</v>
      </c>
      <c r="F905" s="2">
        <v>36377.050000000003</v>
      </c>
      <c r="G905" s="2">
        <v>6394.32</v>
      </c>
      <c r="H905" s="2">
        <v>1</v>
      </c>
      <c r="I905" s="2">
        <f t="shared" si="42"/>
        <v>29982.730000000003</v>
      </c>
      <c r="J905" s="2" t="str">
        <f t="shared" si="43"/>
        <v>January</v>
      </c>
      <c r="K905" s="9">
        <f t="shared" si="44"/>
        <v>0.82422104046369893</v>
      </c>
    </row>
    <row r="906" spans="1:11" x14ac:dyDescent="0.35">
      <c r="A906" s="2" t="s">
        <v>722</v>
      </c>
      <c r="B906" s="4" t="s">
        <v>680</v>
      </c>
      <c r="C906" s="2" t="s">
        <v>31</v>
      </c>
      <c r="D906" s="2" t="s">
        <v>28</v>
      </c>
      <c r="E906" s="2" t="s">
        <v>12</v>
      </c>
      <c r="F906" s="2">
        <v>25052.54</v>
      </c>
      <c r="G906" s="2">
        <v>7049.97</v>
      </c>
      <c r="H906" s="2">
        <v>9</v>
      </c>
      <c r="I906" s="2">
        <f t="shared" si="42"/>
        <v>18002.57</v>
      </c>
      <c r="J906" s="2" t="str">
        <f t="shared" si="43"/>
        <v>May</v>
      </c>
      <c r="K906" s="9">
        <f t="shared" si="44"/>
        <v>0.71859260577969331</v>
      </c>
    </row>
    <row r="907" spans="1:11" x14ac:dyDescent="0.35">
      <c r="A907" s="2" t="s">
        <v>723</v>
      </c>
      <c r="B907" s="4" t="s">
        <v>472</v>
      </c>
      <c r="C907" s="2" t="s">
        <v>31</v>
      </c>
      <c r="D907" s="2" t="s">
        <v>28</v>
      </c>
      <c r="E907" s="2" t="s">
        <v>12</v>
      </c>
      <c r="F907" s="2">
        <v>26836.03</v>
      </c>
      <c r="G907" s="2">
        <v>4262.9399999999996</v>
      </c>
      <c r="H907" s="2">
        <v>10</v>
      </c>
      <c r="I907" s="2">
        <f t="shared" si="42"/>
        <v>22573.09</v>
      </c>
      <c r="J907" s="2" t="str">
        <f t="shared" si="43"/>
        <v>August</v>
      </c>
      <c r="K907" s="9">
        <f t="shared" si="44"/>
        <v>0.84114863487632119</v>
      </c>
    </row>
    <row r="908" spans="1:11" x14ac:dyDescent="0.35">
      <c r="A908" s="2" t="s">
        <v>724</v>
      </c>
      <c r="B908" s="4" t="s">
        <v>54</v>
      </c>
      <c r="C908" s="2" t="s">
        <v>27</v>
      </c>
      <c r="D908" s="2" t="s">
        <v>28</v>
      </c>
      <c r="E908" s="2" t="s">
        <v>21</v>
      </c>
      <c r="F908" s="2">
        <v>8240.83</v>
      </c>
      <c r="G908" s="2">
        <v>657.6</v>
      </c>
      <c r="H908" s="2">
        <v>9</v>
      </c>
      <c r="I908" s="2">
        <f t="shared" si="42"/>
        <v>7583.23</v>
      </c>
      <c r="J908" s="2" t="str">
        <f t="shared" si="43"/>
        <v>January</v>
      </c>
      <c r="K908" s="9">
        <f t="shared" si="44"/>
        <v>0.92020221264120239</v>
      </c>
    </row>
    <row r="909" spans="1:11" x14ac:dyDescent="0.35">
      <c r="A909" s="2" t="s">
        <v>727</v>
      </c>
      <c r="B909" s="4" t="s">
        <v>273</v>
      </c>
      <c r="C909" s="2" t="s">
        <v>15</v>
      </c>
      <c r="D909" s="2" t="s">
        <v>28</v>
      </c>
      <c r="E909" s="2" t="s">
        <v>21</v>
      </c>
      <c r="F909" s="2">
        <v>4167.96</v>
      </c>
      <c r="G909" s="2">
        <v>762.77</v>
      </c>
      <c r="H909" s="2">
        <v>9</v>
      </c>
      <c r="I909" s="2">
        <f t="shared" si="42"/>
        <v>3405.19</v>
      </c>
      <c r="J909" s="2" t="str">
        <f t="shared" si="43"/>
        <v>September</v>
      </c>
      <c r="K909" s="9">
        <f t="shared" si="44"/>
        <v>0.81699200568143648</v>
      </c>
    </row>
    <row r="910" spans="1:11" x14ac:dyDescent="0.35">
      <c r="A910" s="2" t="s">
        <v>733</v>
      </c>
      <c r="B910" s="4" t="s">
        <v>734</v>
      </c>
      <c r="C910" s="2" t="s">
        <v>10</v>
      </c>
      <c r="D910" s="2" t="s">
        <v>28</v>
      </c>
      <c r="E910" s="2" t="s">
        <v>17</v>
      </c>
      <c r="F910" s="2">
        <v>44875.76</v>
      </c>
      <c r="G910" s="2">
        <v>11677.2</v>
      </c>
      <c r="H910" s="2">
        <v>2</v>
      </c>
      <c r="I910" s="2">
        <f t="shared" si="42"/>
        <v>33198.559999999998</v>
      </c>
      <c r="J910" s="2" t="str">
        <f t="shared" si="43"/>
        <v>February</v>
      </c>
      <c r="K910" s="9">
        <f t="shared" si="44"/>
        <v>0.73978825093992828</v>
      </c>
    </row>
    <row r="911" spans="1:11" x14ac:dyDescent="0.35">
      <c r="A911" s="2" t="s">
        <v>779</v>
      </c>
      <c r="B911" s="4" t="s">
        <v>390</v>
      </c>
      <c r="C911" s="2" t="s">
        <v>31</v>
      </c>
      <c r="D911" s="2" t="s">
        <v>28</v>
      </c>
      <c r="E911" s="2" t="s">
        <v>21</v>
      </c>
      <c r="F911" s="2">
        <v>22337.49</v>
      </c>
      <c r="G911" s="2">
        <v>2230.1999999999998</v>
      </c>
      <c r="H911" s="2">
        <v>1</v>
      </c>
      <c r="I911" s="2">
        <f t="shared" si="42"/>
        <v>20107.29</v>
      </c>
      <c r="J911" s="2" t="str">
        <f t="shared" si="43"/>
        <v>January</v>
      </c>
      <c r="K911" s="9">
        <f t="shared" si="44"/>
        <v>0.90015888087694718</v>
      </c>
    </row>
    <row r="912" spans="1:11" x14ac:dyDescent="0.35">
      <c r="A912" s="2" t="s">
        <v>780</v>
      </c>
      <c r="B912" s="4" t="s">
        <v>645</v>
      </c>
      <c r="C912" s="2" t="s">
        <v>10</v>
      </c>
      <c r="D912" s="2" t="s">
        <v>28</v>
      </c>
      <c r="E912" s="2" t="s">
        <v>17</v>
      </c>
      <c r="F912" s="2">
        <v>41749.279999999999</v>
      </c>
      <c r="G912" s="2">
        <v>7389.33</v>
      </c>
      <c r="H912" s="2">
        <v>20</v>
      </c>
      <c r="I912" s="2">
        <f t="shared" si="42"/>
        <v>34359.949999999997</v>
      </c>
      <c r="J912" s="2" t="str">
        <f t="shared" si="43"/>
        <v>July</v>
      </c>
      <c r="K912" s="9">
        <f t="shared" si="44"/>
        <v>0.82300700754599831</v>
      </c>
    </row>
    <row r="913" spans="1:11" x14ac:dyDescent="0.35">
      <c r="A913" s="2" t="s">
        <v>781</v>
      </c>
      <c r="B913" s="4" t="s">
        <v>450</v>
      </c>
      <c r="C913" s="2" t="s">
        <v>15</v>
      </c>
      <c r="D913" s="2" t="s">
        <v>28</v>
      </c>
      <c r="E913" s="2" t="s">
        <v>21</v>
      </c>
      <c r="F913" s="2">
        <v>25452.21</v>
      </c>
      <c r="G913" s="2">
        <v>4816.8500000000004</v>
      </c>
      <c r="H913" s="2">
        <v>20</v>
      </c>
      <c r="I913" s="2">
        <f t="shared" si="42"/>
        <v>20635.36</v>
      </c>
      <c r="J913" s="2" t="str">
        <f t="shared" si="43"/>
        <v>December</v>
      </c>
      <c r="K913" s="9">
        <f t="shared" si="44"/>
        <v>0.8107492433859379</v>
      </c>
    </row>
    <row r="914" spans="1:11" x14ac:dyDescent="0.35">
      <c r="A914" s="2" t="s">
        <v>787</v>
      </c>
      <c r="B914" s="4" t="s">
        <v>117</v>
      </c>
      <c r="C914" s="2" t="s">
        <v>10</v>
      </c>
      <c r="D914" s="2" t="s">
        <v>28</v>
      </c>
      <c r="E914" s="2" t="s">
        <v>21</v>
      </c>
      <c r="F914" s="2">
        <v>21801.11</v>
      </c>
      <c r="G914" s="2">
        <v>3492.68</v>
      </c>
      <c r="H914" s="2">
        <v>5</v>
      </c>
      <c r="I914" s="2">
        <f t="shared" si="42"/>
        <v>18308.43</v>
      </c>
      <c r="J914" s="2" t="str">
        <f t="shared" si="43"/>
        <v>April</v>
      </c>
      <c r="K914" s="9">
        <f t="shared" si="44"/>
        <v>0.83979347840545737</v>
      </c>
    </row>
    <row r="915" spans="1:11" x14ac:dyDescent="0.35">
      <c r="A915" s="2" t="s">
        <v>811</v>
      </c>
      <c r="B915" s="4" t="s">
        <v>812</v>
      </c>
      <c r="C915" s="2" t="s">
        <v>10</v>
      </c>
      <c r="D915" s="2" t="s">
        <v>28</v>
      </c>
      <c r="E915" s="2" t="s">
        <v>21</v>
      </c>
      <c r="F915" s="2">
        <v>17714.62</v>
      </c>
      <c r="G915" s="2">
        <v>1496.47</v>
      </c>
      <c r="H915" s="2">
        <v>11</v>
      </c>
      <c r="I915" s="2">
        <f t="shared" si="42"/>
        <v>16218.15</v>
      </c>
      <c r="J915" s="2" t="str">
        <f t="shared" si="43"/>
        <v>June</v>
      </c>
      <c r="K915" s="9">
        <f t="shared" si="44"/>
        <v>0.91552344899297866</v>
      </c>
    </row>
    <row r="916" spans="1:11" x14ac:dyDescent="0.35">
      <c r="A916" s="2" t="s">
        <v>819</v>
      </c>
      <c r="B916" s="4" t="s">
        <v>531</v>
      </c>
      <c r="C916" s="2" t="s">
        <v>10</v>
      </c>
      <c r="D916" s="2" t="s">
        <v>28</v>
      </c>
      <c r="E916" s="2" t="s">
        <v>12</v>
      </c>
      <c r="F916" s="2">
        <v>48058.03</v>
      </c>
      <c r="G916" s="2">
        <v>11846.48</v>
      </c>
      <c r="H916" s="2">
        <v>13</v>
      </c>
      <c r="I916" s="2">
        <f t="shared" si="42"/>
        <v>36211.550000000003</v>
      </c>
      <c r="J916" s="2" t="str">
        <f t="shared" si="43"/>
        <v>March</v>
      </c>
      <c r="K916" s="9">
        <f t="shared" si="44"/>
        <v>0.75349634598005799</v>
      </c>
    </row>
    <row r="917" spans="1:11" x14ac:dyDescent="0.35">
      <c r="A917" s="2" t="s">
        <v>824</v>
      </c>
      <c r="B917" s="4" t="s">
        <v>825</v>
      </c>
      <c r="C917" s="2" t="s">
        <v>10</v>
      </c>
      <c r="D917" s="2" t="s">
        <v>28</v>
      </c>
      <c r="E917" s="2" t="s">
        <v>17</v>
      </c>
      <c r="F917" s="2">
        <v>36964.69</v>
      </c>
      <c r="G917" s="2">
        <v>5529.3</v>
      </c>
      <c r="H917" s="2">
        <v>15</v>
      </c>
      <c r="I917" s="2">
        <f t="shared" si="42"/>
        <v>31435.390000000003</v>
      </c>
      <c r="J917" s="2" t="str">
        <f t="shared" si="43"/>
        <v>July</v>
      </c>
      <c r="K917" s="9">
        <f t="shared" si="44"/>
        <v>0.85041670848585504</v>
      </c>
    </row>
    <row r="918" spans="1:11" x14ac:dyDescent="0.35">
      <c r="A918" s="2" t="s">
        <v>828</v>
      </c>
      <c r="B918" s="4" t="s">
        <v>829</v>
      </c>
      <c r="C918" s="2" t="s">
        <v>10</v>
      </c>
      <c r="D918" s="2" t="s">
        <v>28</v>
      </c>
      <c r="E918" s="2" t="s">
        <v>17</v>
      </c>
      <c r="F918" s="2">
        <v>36193.160000000003</v>
      </c>
      <c r="G918" s="2">
        <v>7113.21</v>
      </c>
      <c r="H918" s="2">
        <v>3</v>
      </c>
      <c r="I918" s="2">
        <f t="shared" si="42"/>
        <v>29079.950000000004</v>
      </c>
      <c r="J918" s="2" t="str">
        <f t="shared" si="43"/>
        <v>June</v>
      </c>
      <c r="K918" s="9">
        <f t="shared" si="44"/>
        <v>0.80346535091160876</v>
      </c>
    </row>
    <row r="919" spans="1:11" x14ac:dyDescent="0.35">
      <c r="A919" s="2" t="s">
        <v>836</v>
      </c>
      <c r="B919" s="4" t="s">
        <v>217</v>
      </c>
      <c r="C919" s="2" t="s">
        <v>10</v>
      </c>
      <c r="D919" s="2" t="s">
        <v>28</v>
      </c>
      <c r="E919" s="2" t="s">
        <v>21</v>
      </c>
      <c r="F919" s="2">
        <v>23600.02</v>
      </c>
      <c r="G919" s="2">
        <v>1653.51</v>
      </c>
      <c r="H919" s="2">
        <v>7</v>
      </c>
      <c r="I919" s="2">
        <f t="shared" si="42"/>
        <v>21946.510000000002</v>
      </c>
      <c r="J919" s="2" t="str">
        <f t="shared" si="43"/>
        <v>July</v>
      </c>
      <c r="K919" s="9">
        <f t="shared" si="44"/>
        <v>0.92993607632535913</v>
      </c>
    </row>
    <row r="920" spans="1:11" x14ac:dyDescent="0.35">
      <c r="A920" s="2" t="s">
        <v>838</v>
      </c>
      <c r="B920" s="4" t="s">
        <v>496</v>
      </c>
      <c r="C920" s="2" t="s">
        <v>27</v>
      </c>
      <c r="D920" s="2" t="s">
        <v>28</v>
      </c>
      <c r="E920" s="2" t="s">
        <v>21</v>
      </c>
      <c r="F920" s="2">
        <v>39882.29</v>
      </c>
      <c r="G920" s="2">
        <v>4167.04</v>
      </c>
      <c r="H920" s="2">
        <v>18</v>
      </c>
      <c r="I920" s="2">
        <f t="shared" si="42"/>
        <v>35715.25</v>
      </c>
      <c r="J920" s="2" t="str">
        <f t="shared" si="43"/>
        <v>January</v>
      </c>
      <c r="K920" s="9">
        <f t="shared" si="44"/>
        <v>0.89551653127240183</v>
      </c>
    </row>
    <row r="921" spans="1:11" x14ac:dyDescent="0.35">
      <c r="A921" s="2" t="s">
        <v>839</v>
      </c>
      <c r="B921" s="4" t="s">
        <v>97</v>
      </c>
      <c r="C921" s="2" t="s">
        <v>27</v>
      </c>
      <c r="D921" s="2" t="s">
        <v>28</v>
      </c>
      <c r="E921" s="2" t="s">
        <v>12</v>
      </c>
      <c r="F921" s="2">
        <v>39487.33</v>
      </c>
      <c r="G921" s="2">
        <v>9936.4500000000007</v>
      </c>
      <c r="H921" s="2">
        <v>9</v>
      </c>
      <c r="I921" s="2">
        <f t="shared" si="42"/>
        <v>29550.880000000001</v>
      </c>
      <c r="J921" s="2" t="str">
        <f t="shared" si="43"/>
        <v>October</v>
      </c>
      <c r="K921" s="9">
        <f t="shared" si="44"/>
        <v>0.74836358902969635</v>
      </c>
    </row>
    <row r="922" spans="1:11" x14ac:dyDescent="0.35">
      <c r="A922" s="2" t="s">
        <v>848</v>
      </c>
      <c r="B922" s="4" t="s">
        <v>628</v>
      </c>
      <c r="C922" s="2" t="s">
        <v>10</v>
      </c>
      <c r="D922" s="2" t="s">
        <v>28</v>
      </c>
      <c r="E922" s="2" t="s">
        <v>17</v>
      </c>
      <c r="F922" s="2">
        <v>3947.77</v>
      </c>
      <c r="G922" s="2">
        <v>688.9</v>
      </c>
      <c r="H922" s="2">
        <v>8</v>
      </c>
      <c r="I922" s="2">
        <f t="shared" si="42"/>
        <v>3258.87</v>
      </c>
      <c r="J922" s="2" t="str">
        <f t="shared" si="43"/>
        <v>February</v>
      </c>
      <c r="K922" s="9">
        <f t="shared" si="44"/>
        <v>0.82549641949758978</v>
      </c>
    </row>
    <row r="923" spans="1:11" x14ac:dyDescent="0.35">
      <c r="A923" s="2" t="s">
        <v>856</v>
      </c>
      <c r="B923" s="4" t="s">
        <v>857</v>
      </c>
      <c r="C923" s="2" t="s">
        <v>27</v>
      </c>
      <c r="D923" s="2" t="s">
        <v>28</v>
      </c>
      <c r="E923" s="2" t="s">
        <v>12</v>
      </c>
      <c r="F923" s="2">
        <v>10455.39</v>
      </c>
      <c r="G923" s="2">
        <v>2814.73</v>
      </c>
      <c r="H923" s="2">
        <v>7</v>
      </c>
      <c r="I923" s="2">
        <f t="shared" si="42"/>
        <v>7640.66</v>
      </c>
      <c r="J923" s="2" t="str">
        <f t="shared" si="43"/>
        <v>December</v>
      </c>
      <c r="K923" s="9">
        <f t="shared" si="44"/>
        <v>0.73078670427406345</v>
      </c>
    </row>
    <row r="924" spans="1:11" x14ac:dyDescent="0.35">
      <c r="A924" s="2" t="s">
        <v>858</v>
      </c>
      <c r="B924" s="4" t="s">
        <v>803</v>
      </c>
      <c r="C924" s="2" t="s">
        <v>15</v>
      </c>
      <c r="D924" s="2" t="s">
        <v>28</v>
      </c>
      <c r="E924" s="2" t="s">
        <v>12</v>
      </c>
      <c r="F924" s="2">
        <v>3313</v>
      </c>
      <c r="G924" s="2">
        <v>896.41</v>
      </c>
      <c r="H924" s="2">
        <v>8</v>
      </c>
      <c r="I924" s="2">
        <f t="shared" si="42"/>
        <v>2416.59</v>
      </c>
      <c r="J924" s="2" t="str">
        <f t="shared" si="43"/>
        <v>June</v>
      </c>
      <c r="K924" s="9">
        <f t="shared" si="44"/>
        <v>0.72942650166012679</v>
      </c>
    </row>
    <row r="925" spans="1:11" x14ac:dyDescent="0.35">
      <c r="A925" s="2" t="s">
        <v>859</v>
      </c>
      <c r="B925" s="4" t="s">
        <v>72</v>
      </c>
      <c r="C925" s="2" t="s">
        <v>27</v>
      </c>
      <c r="D925" s="2" t="s">
        <v>28</v>
      </c>
      <c r="E925" s="2" t="s">
        <v>21</v>
      </c>
      <c r="F925" s="2">
        <v>44960.06</v>
      </c>
      <c r="G925" s="2">
        <v>8130.89</v>
      </c>
      <c r="H925" s="2">
        <v>20</v>
      </c>
      <c r="I925" s="2">
        <f t="shared" si="42"/>
        <v>36829.17</v>
      </c>
      <c r="J925" s="2" t="str">
        <f t="shared" si="43"/>
        <v>March</v>
      </c>
      <c r="K925" s="9">
        <f t="shared" si="44"/>
        <v>0.81915304383490595</v>
      </c>
    </row>
    <row r="926" spans="1:11" x14ac:dyDescent="0.35">
      <c r="A926" s="2" t="s">
        <v>877</v>
      </c>
      <c r="B926" s="4" t="s">
        <v>399</v>
      </c>
      <c r="C926" s="2" t="s">
        <v>10</v>
      </c>
      <c r="D926" s="2" t="s">
        <v>28</v>
      </c>
      <c r="E926" s="2" t="s">
        <v>12</v>
      </c>
      <c r="F926" s="2">
        <v>10691.85</v>
      </c>
      <c r="G926" s="2">
        <v>1315.14</v>
      </c>
      <c r="H926" s="2">
        <v>9</v>
      </c>
      <c r="I926" s="2">
        <f t="shared" si="42"/>
        <v>9376.7100000000009</v>
      </c>
      <c r="J926" s="2" t="str">
        <f t="shared" si="43"/>
        <v>June</v>
      </c>
      <c r="K926" s="9">
        <f t="shared" si="44"/>
        <v>0.87699602968616286</v>
      </c>
    </row>
    <row r="927" spans="1:11" x14ac:dyDescent="0.35">
      <c r="A927" s="2" t="s">
        <v>878</v>
      </c>
      <c r="B927" s="4" t="s">
        <v>879</v>
      </c>
      <c r="C927" s="2" t="s">
        <v>27</v>
      </c>
      <c r="D927" s="2" t="s">
        <v>28</v>
      </c>
      <c r="E927" s="2" t="s">
        <v>12</v>
      </c>
      <c r="F927" s="2">
        <v>47520.44</v>
      </c>
      <c r="G927" s="2">
        <v>12872.3</v>
      </c>
      <c r="H927" s="2">
        <v>18</v>
      </c>
      <c r="I927" s="2">
        <f t="shared" si="42"/>
        <v>34648.14</v>
      </c>
      <c r="J927" s="2" t="str">
        <f t="shared" si="43"/>
        <v>May</v>
      </c>
      <c r="K927" s="9">
        <f t="shared" si="44"/>
        <v>0.72912077413424614</v>
      </c>
    </row>
    <row r="928" spans="1:11" x14ac:dyDescent="0.35">
      <c r="A928" s="2" t="s">
        <v>885</v>
      </c>
      <c r="B928" s="4" t="s">
        <v>234</v>
      </c>
      <c r="C928" s="2" t="s">
        <v>27</v>
      </c>
      <c r="D928" s="2" t="s">
        <v>28</v>
      </c>
      <c r="E928" s="2" t="s">
        <v>12</v>
      </c>
      <c r="F928" s="2">
        <v>9848.39</v>
      </c>
      <c r="G928" s="2">
        <v>792.45</v>
      </c>
      <c r="H928" s="2">
        <v>7</v>
      </c>
      <c r="I928" s="2">
        <f t="shared" si="42"/>
        <v>9055.9399999999987</v>
      </c>
      <c r="J928" s="2" t="str">
        <f t="shared" si="43"/>
        <v>October</v>
      </c>
      <c r="K928" s="9">
        <f t="shared" si="44"/>
        <v>0.91953507121468581</v>
      </c>
    </row>
    <row r="929" spans="1:11" x14ac:dyDescent="0.35">
      <c r="A929" s="2" t="s">
        <v>888</v>
      </c>
      <c r="B929" s="4" t="s">
        <v>420</v>
      </c>
      <c r="C929" s="2" t="s">
        <v>27</v>
      </c>
      <c r="D929" s="2" t="s">
        <v>28</v>
      </c>
      <c r="E929" s="2" t="s">
        <v>21</v>
      </c>
      <c r="F929" s="2">
        <v>23393.39</v>
      </c>
      <c r="G929" s="2">
        <v>3377.65</v>
      </c>
      <c r="H929" s="2">
        <v>4</v>
      </c>
      <c r="I929" s="2">
        <f t="shared" si="42"/>
        <v>20015.739999999998</v>
      </c>
      <c r="J929" s="2" t="str">
        <f t="shared" si="43"/>
        <v>November</v>
      </c>
      <c r="K929" s="9">
        <f t="shared" si="44"/>
        <v>0.85561519728436108</v>
      </c>
    </row>
    <row r="930" spans="1:11" x14ac:dyDescent="0.35">
      <c r="A930" s="2" t="s">
        <v>897</v>
      </c>
      <c r="B930" s="4" t="s">
        <v>262</v>
      </c>
      <c r="C930" s="2" t="s">
        <v>15</v>
      </c>
      <c r="D930" s="2" t="s">
        <v>28</v>
      </c>
      <c r="E930" s="2" t="s">
        <v>12</v>
      </c>
      <c r="F930" s="2">
        <v>6412.11</v>
      </c>
      <c r="G930" s="2">
        <v>1261.1099999999999</v>
      </c>
      <c r="H930" s="2">
        <v>14</v>
      </c>
      <c r="I930" s="2">
        <f t="shared" si="42"/>
        <v>5151</v>
      </c>
      <c r="J930" s="2" t="str">
        <f t="shared" si="43"/>
        <v>June</v>
      </c>
      <c r="K930" s="9">
        <f t="shared" si="44"/>
        <v>0.80332371091575161</v>
      </c>
    </row>
    <row r="931" spans="1:11" x14ac:dyDescent="0.35">
      <c r="A931" s="2" t="s">
        <v>910</v>
      </c>
      <c r="B931" s="4" t="s">
        <v>911</v>
      </c>
      <c r="C931" s="2" t="s">
        <v>31</v>
      </c>
      <c r="D931" s="2" t="s">
        <v>28</v>
      </c>
      <c r="E931" s="2" t="s">
        <v>12</v>
      </c>
      <c r="F931" s="2">
        <v>38143.660000000003</v>
      </c>
      <c r="G931" s="2">
        <v>4406.0200000000004</v>
      </c>
      <c r="H931" s="2">
        <v>19</v>
      </c>
      <c r="I931" s="2">
        <f t="shared" si="42"/>
        <v>33737.64</v>
      </c>
      <c r="J931" s="2" t="str">
        <f t="shared" si="43"/>
        <v>November</v>
      </c>
      <c r="K931" s="9">
        <f t="shared" si="44"/>
        <v>0.88448879840057293</v>
      </c>
    </row>
    <row r="932" spans="1:11" x14ac:dyDescent="0.35">
      <c r="A932" s="2" t="s">
        <v>912</v>
      </c>
      <c r="B932" s="4" t="s">
        <v>913</v>
      </c>
      <c r="C932" s="2" t="s">
        <v>31</v>
      </c>
      <c r="D932" s="2" t="s">
        <v>28</v>
      </c>
      <c r="E932" s="2" t="s">
        <v>12</v>
      </c>
      <c r="F932" s="2">
        <v>11520.01</v>
      </c>
      <c r="G932" s="2">
        <v>2865.49</v>
      </c>
      <c r="H932" s="2">
        <v>3</v>
      </c>
      <c r="I932" s="2">
        <f t="shared" si="42"/>
        <v>8654.52</v>
      </c>
      <c r="J932" s="2" t="str">
        <f t="shared" si="43"/>
        <v>October</v>
      </c>
      <c r="K932" s="9">
        <f t="shared" si="44"/>
        <v>0.75125976453145438</v>
      </c>
    </row>
    <row r="933" spans="1:11" x14ac:dyDescent="0.35">
      <c r="A933" s="2" t="s">
        <v>917</v>
      </c>
      <c r="B933" s="4" t="s">
        <v>406</v>
      </c>
      <c r="C933" s="2" t="s">
        <v>15</v>
      </c>
      <c r="D933" s="2" t="s">
        <v>28</v>
      </c>
      <c r="E933" s="2" t="s">
        <v>21</v>
      </c>
      <c r="F933" s="2">
        <v>36664.120000000003</v>
      </c>
      <c r="G933" s="2">
        <v>5188.91</v>
      </c>
      <c r="H933" s="2">
        <v>5</v>
      </c>
      <c r="I933" s="2">
        <f t="shared" si="42"/>
        <v>31475.210000000003</v>
      </c>
      <c r="J933" s="2" t="str">
        <f t="shared" si="43"/>
        <v>February</v>
      </c>
      <c r="K933" s="9">
        <f t="shared" si="44"/>
        <v>0.85847444313405041</v>
      </c>
    </row>
    <row r="934" spans="1:11" x14ac:dyDescent="0.35">
      <c r="A934" s="2" t="s">
        <v>934</v>
      </c>
      <c r="B934" s="4" t="s">
        <v>195</v>
      </c>
      <c r="C934" s="2" t="s">
        <v>15</v>
      </c>
      <c r="D934" s="2" t="s">
        <v>28</v>
      </c>
      <c r="E934" s="2" t="s">
        <v>17</v>
      </c>
      <c r="F934" s="2">
        <v>6069.71</v>
      </c>
      <c r="G934" s="2">
        <v>1552.04</v>
      </c>
      <c r="H934" s="2">
        <v>9</v>
      </c>
      <c r="I934" s="2">
        <f t="shared" si="42"/>
        <v>4517.67</v>
      </c>
      <c r="J934" s="2" t="str">
        <f t="shared" si="43"/>
        <v>April</v>
      </c>
      <c r="K934" s="9">
        <f t="shared" si="44"/>
        <v>0.74429750350510981</v>
      </c>
    </row>
    <row r="935" spans="1:11" x14ac:dyDescent="0.35">
      <c r="A935" s="2" t="s">
        <v>938</v>
      </c>
      <c r="B935" s="4" t="s">
        <v>284</v>
      </c>
      <c r="C935" s="2" t="s">
        <v>10</v>
      </c>
      <c r="D935" s="2" t="s">
        <v>28</v>
      </c>
      <c r="E935" s="2" t="s">
        <v>17</v>
      </c>
      <c r="F935" s="2">
        <v>33111.32</v>
      </c>
      <c r="G935" s="2">
        <v>7635.24</v>
      </c>
      <c r="H935" s="2">
        <v>15</v>
      </c>
      <c r="I935" s="2">
        <f t="shared" si="42"/>
        <v>25476.080000000002</v>
      </c>
      <c r="J935" s="2" t="str">
        <f t="shared" si="43"/>
        <v>October</v>
      </c>
      <c r="K935" s="9">
        <f t="shared" si="44"/>
        <v>0.76940695810375426</v>
      </c>
    </row>
    <row r="936" spans="1:11" x14ac:dyDescent="0.35">
      <c r="A936" s="2" t="s">
        <v>947</v>
      </c>
      <c r="B936" s="4" t="s">
        <v>948</v>
      </c>
      <c r="C936" s="2" t="s">
        <v>15</v>
      </c>
      <c r="D936" s="2" t="s">
        <v>28</v>
      </c>
      <c r="E936" s="2" t="s">
        <v>17</v>
      </c>
      <c r="F936" s="2">
        <v>3492.92</v>
      </c>
      <c r="G936" s="2">
        <v>776.73</v>
      </c>
      <c r="H936" s="2">
        <v>7</v>
      </c>
      <c r="I936" s="2">
        <f t="shared" si="42"/>
        <v>2716.19</v>
      </c>
      <c r="J936" s="2" t="str">
        <f t="shared" si="43"/>
        <v>January</v>
      </c>
      <c r="K936" s="9">
        <f t="shared" si="44"/>
        <v>0.77762731468227153</v>
      </c>
    </row>
    <row r="937" spans="1:11" x14ac:dyDescent="0.35">
      <c r="A937" s="2" t="s">
        <v>953</v>
      </c>
      <c r="B937" s="4" t="s">
        <v>358</v>
      </c>
      <c r="C937" s="2" t="s">
        <v>10</v>
      </c>
      <c r="D937" s="2" t="s">
        <v>28</v>
      </c>
      <c r="E937" s="2" t="s">
        <v>17</v>
      </c>
      <c r="F937" s="2">
        <v>11335.69</v>
      </c>
      <c r="G937" s="2">
        <v>1638.55</v>
      </c>
      <c r="H937" s="2">
        <v>15</v>
      </c>
      <c r="I937" s="2">
        <f t="shared" si="42"/>
        <v>9697.1400000000012</v>
      </c>
      <c r="J937" s="2" t="str">
        <f t="shared" si="43"/>
        <v>September</v>
      </c>
      <c r="K937" s="9">
        <f t="shared" si="44"/>
        <v>0.85545211628052642</v>
      </c>
    </row>
    <row r="938" spans="1:11" x14ac:dyDescent="0.35">
      <c r="A938" s="2" t="s">
        <v>955</v>
      </c>
      <c r="B938" s="4" t="s">
        <v>379</v>
      </c>
      <c r="C938" s="2" t="s">
        <v>15</v>
      </c>
      <c r="D938" s="2" t="s">
        <v>28</v>
      </c>
      <c r="E938" s="2" t="s">
        <v>21</v>
      </c>
      <c r="F938" s="2">
        <v>47947.41</v>
      </c>
      <c r="G938" s="2">
        <v>10007.709999999999</v>
      </c>
      <c r="H938" s="2">
        <v>8</v>
      </c>
      <c r="I938" s="2">
        <f t="shared" si="42"/>
        <v>37939.700000000004</v>
      </c>
      <c r="J938" s="2" t="str">
        <f t="shared" si="43"/>
        <v>March</v>
      </c>
      <c r="K938" s="9">
        <f t="shared" si="44"/>
        <v>0.79127735992413362</v>
      </c>
    </row>
    <row r="939" spans="1:11" x14ac:dyDescent="0.35">
      <c r="A939" s="2" t="s">
        <v>958</v>
      </c>
      <c r="B939" s="4" t="s">
        <v>262</v>
      </c>
      <c r="C939" s="2" t="s">
        <v>27</v>
      </c>
      <c r="D939" s="2" t="s">
        <v>28</v>
      </c>
      <c r="E939" s="2" t="s">
        <v>17</v>
      </c>
      <c r="F939" s="2">
        <v>47038.720000000001</v>
      </c>
      <c r="G939" s="2">
        <v>10280.68</v>
      </c>
      <c r="H939" s="2">
        <v>18</v>
      </c>
      <c r="I939" s="2">
        <f t="shared" si="42"/>
        <v>36758.04</v>
      </c>
      <c r="J939" s="2" t="str">
        <f t="shared" si="43"/>
        <v>June</v>
      </c>
      <c r="K939" s="9">
        <f t="shared" si="44"/>
        <v>0.78144218210019323</v>
      </c>
    </row>
    <row r="940" spans="1:11" x14ac:dyDescent="0.35">
      <c r="A940" s="2" t="s">
        <v>960</v>
      </c>
      <c r="B940" s="4" t="s">
        <v>961</v>
      </c>
      <c r="C940" s="2" t="s">
        <v>27</v>
      </c>
      <c r="D940" s="2" t="s">
        <v>28</v>
      </c>
      <c r="E940" s="2" t="s">
        <v>21</v>
      </c>
      <c r="F940" s="2">
        <v>20628.169999999998</v>
      </c>
      <c r="G940" s="2">
        <v>4306.05</v>
      </c>
      <c r="H940" s="2">
        <v>13</v>
      </c>
      <c r="I940" s="2">
        <f t="shared" si="42"/>
        <v>16322.119999999999</v>
      </c>
      <c r="J940" s="2" t="str">
        <f t="shared" si="43"/>
        <v>December</v>
      </c>
      <c r="K940" s="9">
        <f t="shared" si="44"/>
        <v>0.7912539018245438</v>
      </c>
    </row>
    <row r="941" spans="1:11" x14ac:dyDescent="0.35">
      <c r="A941" s="2" t="s">
        <v>969</v>
      </c>
      <c r="B941" s="4" t="s">
        <v>176</v>
      </c>
      <c r="C941" s="2" t="s">
        <v>15</v>
      </c>
      <c r="D941" s="2" t="s">
        <v>28</v>
      </c>
      <c r="E941" s="2" t="s">
        <v>21</v>
      </c>
      <c r="F941" s="2">
        <v>39628.86</v>
      </c>
      <c r="G941" s="2">
        <v>11340.02</v>
      </c>
      <c r="H941" s="2">
        <v>11</v>
      </c>
      <c r="I941" s="2">
        <f t="shared" si="42"/>
        <v>28288.84</v>
      </c>
      <c r="J941" s="2" t="str">
        <f t="shared" si="43"/>
        <v>November</v>
      </c>
      <c r="K941" s="9">
        <f t="shared" si="44"/>
        <v>0.7138444053147126</v>
      </c>
    </row>
    <row r="942" spans="1:11" x14ac:dyDescent="0.35">
      <c r="A942" s="2" t="s">
        <v>970</v>
      </c>
      <c r="B942" s="4" t="s">
        <v>402</v>
      </c>
      <c r="C942" s="2" t="s">
        <v>10</v>
      </c>
      <c r="D942" s="2" t="s">
        <v>28</v>
      </c>
      <c r="E942" s="2" t="s">
        <v>12</v>
      </c>
      <c r="F942" s="2">
        <v>1901.76</v>
      </c>
      <c r="G942" s="2">
        <v>307.99</v>
      </c>
      <c r="H942" s="2">
        <v>9</v>
      </c>
      <c r="I942" s="2">
        <f t="shared" si="42"/>
        <v>1593.77</v>
      </c>
      <c r="J942" s="2" t="str">
        <f t="shared" si="43"/>
        <v>November</v>
      </c>
      <c r="K942" s="9">
        <f t="shared" si="44"/>
        <v>0.83805001682651858</v>
      </c>
    </row>
    <row r="943" spans="1:11" x14ac:dyDescent="0.35">
      <c r="A943" s="2" t="s">
        <v>974</v>
      </c>
      <c r="B943" s="4" t="s">
        <v>539</v>
      </c>
      <c r="C943" s="2" t="s">
        <v>31</v>
      </c>
      <c r="D943" s="2" t="s">
        <v>28</v>
      </c>
      <c r="E943" s="2" t="s">
        <v>21</v>
      </c>
      <c r="F943" s="2">
        <v>26977.57</v>
      </c>
      <c r="G943" s="2">
        <v>3605.8</v>
      </c>
      <c r="H943" s="2">
        <v>10</v>
      </c>
      <c r="I943" s="2">
        <f t="shared" si="42"/>
        <v>23371.77</v>
      </c>
      <c r="J943" s="2" t="str">
        <f t="shared" si="43"/>
        <v>September</v>
      </c>
      <c r="K943" s="9">
        <f t="shared" si="44"/>
        <v>0.86634081572209809</v>
      </c>
    </row>
    <row r="944" spans="1:11" x14ac:dyDescent="0.35">
      <c r="A944" s="2" t="s">
        <v>975</v>
      </c>
      <c r="B944" s="4" t="s">
        <v>217</v>
      </c>
      <c r="C944" s="2" t="s">
        <v>27</v>
      </c>
      <c r="D944" s="2" t="s">
        <v>28</v>
      </c>
      <c r="E944" s="2" t="s">
        <v>12</v>
      </c>
      <c r="F944" s="2">
        <v>28417.89</v>
      </c>
      <c r="G944" s="2">
        <v>8143</v>
      </c>
      <c r="H944" s="2">
        <v>11</v>
      </c>
      <c r="I944" s="2">
        <f t="shared" si="42"/>
        <v>20274.89</v>
      </c>
      <c r="J944" s="2" t="str">
        <f t="shared" si="43"/>
        <v>July</v>
      </c>
      <c r="K944" s="9">
        <f t="shared" si="44"/>
        <v>0.71345515096300249</v>
      </c>
    </row>
    <row r="945" spans="1:11" x14ac:dyDescent="0.35">
      <c r="A945" s="2" t="s">
        <v>995</v>
      </c>
      <c r="B945" s="4" t="s">
        <v>243</v>
      </c>
      <c r="C945" s="2" t="s">
        <v>31</v>
      </c>
      <c r="D945" s="2" t="s">
        <v>28</v>
      </c>
      <c r="E945" s="2" t="s">
        <v>12</v>
      </c>
      <c r="F945" s="2">
        <v>47241.89</v>
      </c>
      <c r="G945" s="2">
        <v>12240.96</v>
      </c>
      <c r="H945" s="2">
        <v>13</v>
      </c>
      <c r="I945" s="2">
        <f t="shared" si="42"/>
        <v>35000.93</v>
      </c>
      <c r="J945" s="2" t="str">
        <f t="shared" si="43"/>
        <v>April</v>
      </c>
      <c r="K945" s="9">
        <f t="shared" si="44"/>
        <v>0.74088758938306665</v>
      </c>
    </row>
    <row r="946" spans="1:11" x14ac:dyDescent="0.35">
      <c r="A946" s="2" t="s">
        <v>999</v>
      </c>
      <c r="B946" s="4" t="s">
        <v>134</v>
      </c>
      <c r="C946" s="2" t="s">
        <v>27</v>
      </c>
      <c r="D946" s="2" t="s">
        <v>28</v>
      </c>
      <c r="E946" s="2" t="s">
        <v>12</v>
      </c>
      <c r="F946" s="2">
        <v>17943.009999999998</v>
      </c>
      <c r="G946" s="2">
        <v>3215.89</v>
      </c>
      <c r="H946" s="2">
        <v>2</v>
      </c>
      <c r="I946" s="2">
        <f t="shared" si="42"/>
        <v>14727.119999999999</v>
      </c>
      <c r="J946" s="2" t="str">
        <f t="shared" si="43"/>
        <v>November</v>
      </c>
      <c r="K946" s="9">
        <f t="shared" si="44"/>
        <v>0.8207719886462751</v>
      </c>
    </row>
    <row r="947" spans="1:11" x14ac:dyDescent="0.35">
      <c r="A947" s="2" t="s">
        <v>1000</v>
      </c>
      <c r="B947" s="4" t="s">
        <v>1001</v>
      </c>
      <c r="C947" s="2" t="s">
        <v>27</v>
      </c>
      <c r="D947" s="2" t="s">
        <v>28</v>
      </c>
      <c r="E947" s="2" t="s">
        <v>12</v>
      </c>
      <c r="F947" s="2">
        <v>37596.769999999997</v>
      </c>
      <c r="G947" s="2">
        <v>2367.54</v>
      </c>
      <c r="H947" s="2">
        <v>20</v>
      </c>
      <c r="I947" s="2">
        <f t="shared" si="42"/>
        <v>35229.229999999996</v>
      </c>
      <c r="J947" s="2" t="str">
        <f t="shared" si="43"/>
        <v>April</v>
      </c>
      <c r="K947" s="9">
        <f t="shared" si="44"/>
        <v>0.93702810108421541</v>
      </c>
    </row>
    <row r="948" spans="1:11" x14ac:dyDescent="0.35">
      <c r="A948" s="2" t="s">
        <v>1002</v>
      </c>
      <c r="B948" s="4" t="s">
        <v>309</v>
      </c>
      <c r="C948" s="2" t="s">
        <v>31</v>
      </c>
      <c r="D948" s="2" t="s">
        <v>28</v>
      </c>
      <c r="E948" s="2" t="s">
        <v>12</v>
      </c>
      <c r="F948" s="2">
        <v>15499.28</v>
      </c>
      <c r="G948" s="2">
        <v>2921.32</v>
      </c>
      <c r="H948" s="2">
        <v>18</v>
      </c>
      <c r="I948" s="2">
        <f t="shared" si="42"/>
        <v>12577.960000000001</v>
      </c>
      <c r="J948" s="2" t="str">
        <f t="shared" si="43"/>
        <v>September</v>
      </c>
      <c r="K948" s="9">
        <f t="shared" si="44"/>
        <v>0.81151898668841393</v>
      </c>
    </row>
    <row r="949" spans="1:11" x14ac:dyDescent="0.35">
      <c r="A949" s="2" t="s">
        <v>1006</v>
      </c>
      <c r="B949" s="4" t="s">
        <v>1007</v>
      </c>
      <c r="C949" s="2" t="s">
        <v>10</v>
      </c>
      <c r="D949" s="2" t="s">
        <v>28</v>
      </c>
      <c r="E949" s="2" t="s">
        <v>17</v>
      </c>
      <c r="F949" s="2">
        <v>17397.07</v>
      </c>
      <c r="G949" s="2">
        <v>2646.13</v>
      </c>
      <c r="H949" s="2">
        <v>20</v>
      </c>
      <c r="I949" s="2">
        <f t="shared" si="42"/>
        <v>14750.939999999999</v>
      </c>
      <c r="J949" s="2" t="str">
        <f t="shared" si="43"/>
        <v>April</v>
      </c>
      <c r="K949" s="9">
        <f t="shared" si="44"/>
        <v>0.84789795063191664</v>
      </c>
    </row>
    <row r="950" spans="1:11" x14ac:dyDescent="0.35">
      <c r="A950" s="2" t="s">
        <v>1009</v>
      </c>
      <c r="B950" s="4" t="s">
        <v>758</v>
      </c>
      <c r="C950" s="2" t="s">
        <v>10</v>
      </c>
      <c r="D950" s="2" t="s">
        <v>28</v>
      </c>
      <c r="E950" s="2" t="s">
        <v>12</v>
      </c>
      <c r="F950" s="2">
        <v>1934.8</v>
      </c>
      <c r="G950" s="2">
        <v>238.82</v>
      </c>
      <c r="H950" s="2">
        <v>6</v>
      </c>
      <c r="I950" s="2">
        <f t="shared" si="42"/>
        <v>1695.98</v>
      </c>
      <c r="J950" s="2" t="str">
        <f t="shared" si="43"/>
        <v>July</v>
      </c>
      <c r="K950" s="9">
        <f t="shared" si="44"/>
        <v>0.87656605333884641</v>
      </c>
    </row>
    <row r="951" spans="1:11" x14ac:dyDescent="0.35">
      <c r="A951" s="2" t="s">
        <v>1024</v>
      </c>
      <c r="B951" s="4" t="s">
        <v>199</v>
      </c>
      <c r="C951" s="2" t="s">
        <v>10</v>
      </c>
      <c r="D951" s="2" t="s">
        <v>28</v>
      </c>
      <c r="E951" s="2" t="s">
        <v>17</v>
      </c>
      <c r="F951" s="2">
        <v>35358.11</v>
      </c>
      <c r="G951" s="2">
        <v>10314.09</v>
      </c>
      <c r="H951" s="2">
        <v>14</v>
      </c>
      <c r="I951" s="2">
        <f t="shared" si="42"/>
        <v>25044.02</v>
      </c>
      <c r="J951" s="2" t="str">
        <f t="shared" si="43"/>
        <v>December</v>
      </c>
      <c r="K951" s="9">
        <f t="shared" si="44"/>
        <v>0.70829634276266462</v>
      </c>
    </row>
    <row r="952" spans="1:11" x14ac:dyDescent="0.35">
      <c r="A952" s="2" t="s">
        <v>1033</v>
      </c>
      <c r="B952" s="4" t="s">
        <v>549</v>
      </c>
      <c r="C952" s="2" t="s">
        <v>15</v>
      </c>
      <c r="D952" s="2" t="s">
        <v>28</v>
      </c>
      <c r="E952" s="2" t="s">
        <v>17</v>
      </c>
      <c r="F952" s="2">
        <v>22230.16</v>
      </c>
      <c r="G952" s="2">
        <v>4999.58</v>
      </c>
      <c r="H952" s="2">
        <v>4</v>
      </c>
      <c r="I952" s="2">
        <f t="shared" si="42"/>
        <v>17230.580000000002</v>
      </c>
      <c r="J952" s="2" t="str">
        <f t="shared" si="43"/>
        <v>November</v>
      </c>
      <c r="K952" s="9">
        <f t="shared" si="44"/>
        <v>0.77509923455341756</v>
      </c>
    </row>
    <row r="953" spans="1:11" x14ac:dyDescent="0.35">
      <c r="A953" s="2" t="s">
        <v>1043</v>
      </c>
      <c r="B953" s="4" t="s">
        <v>36</v>
      </c>
      <c r="C953" s="2" t="s">
        <v>10</v>
      </c>
      <c r="D953" s="2" t="s">
        <v>28</v>
      </c>
      <c r="E953" s="2" t="s">
        <v>17</v>
      </c>
      <c r="F953" s="2">
        <v>13148.43</v>
      </c>
      <c r="G953" s="2">
        <v>1256.31</v>
      </c>
      <c r="H953" s="2">
        <v>19</v>
      </c>
      <c r="I953" s="2">
        <f t="shared" si="42"/>
        <v>11892.12</v>
      </c>
      <c r="J953" s="2" t="str">
        <f t="shared" si="43"/>
        <v>November</v>
      </c>
      <c r="K953" s="9">
        <f t="shared" si="44"/>
        <v>0.90445171020418413</v>
      </c>
    </row>
    <row r="954" spans="1:11" x14ac:dyDescent="0.35">
      <c r="A954" s="2" t="s">
        <v>1045</v>
      </c>
      <c r="B954" s="4" t="s">
        <v>262</v>
      </c>
      <c r="C954" s="2" t="s">
        <v>10</v>
      </c>
      <c r="D954" s="2" t="s">
        <v>28</v>
      </c>
      <c r="E954" s="2" t="s">
        <v>12</v>
      </c>
      <c r="F954" s="2">
        <v>15076.05</v>
      </c>
      <c r="G954" s="2">
        <v>2095.8200000000002</v>
      </c>
      <c r="H954" s="2">
        <v>5</v>
      </c>
      <c r="I954" s="2">
        <f t="shared" si="42"/>
        <v>12980.23</v>
      </c>
      <c r="J954" s="2" t="str">
        <f t="shared" si="43"/>
        <v>June</v>
      </c>
      <c r="K954" s="9">
        <f t="shared" si="44"/>
        <v>0.86098348042093253</v>
      </c>
    </row>
    <row r="955" spans="1:11" x14ac:dyDescent="0.35">
      <c r="A955" s="2" t="s">
        <v>1052</v>
      </c>
      <c r="B955" s="4" t="s">
        <v>774</v>
      </c>
      <c r="C955" s="2" t="s">
        <v>31</v>
      </c>
      <c r="D955" s="2" t="s">
        <v>28</v>
      </c>
      <c r="E955" s="2" t="s">
        <v>21</v>
      </c>
      <c r="F955" s="2">
        <v>23378.86</v>
      </c>
      <c r="G955" s="2">
        <v>1933.91</v>
      </c>
      <c r="H955" s="2">
        <v>1</v>
      </c>
      <c r="I955" s="2">
        <f t="shared" si="42"/>
        <v>21444.95</v>
      </c>
      <c r="J955" s="2" t="str">
        <f t="shared" si="43"/>
        <v>July</v>
      </c>
      <c r="K955" s="9">
        <f t="shared" si="44"/>
        <v>0.91727954228734854</v>
      </c>
    </row>
    <row r="956" spans="1:11" x14ac:dyDescent="0.35">
      <c r="A956" s="2" t="s">
        <v>1054</v>
      </c>
      <c r="B956" s="4" t="s">
        <v>215</v>
      </c>
      <c r="C956" s="2" t="s">
        <v>15</v>
      </c>
      <c r="D956" s="2" t="s">
        <v>28</v>
      </c>
      <c r="E956" s="2" t="s">
        <v>12</v>
      </c>
      <c r="F956" s="2">
        <v>29856.05</v>
      </c>
      <c r="G956" s="2">
        <v>1655.02</v>
      </c>
      <c r="H956" s="2">
        <v>11</v>
      </c>
      <c r="I956" s="2">
        <f t="shared" si="42"/>
        <v>28201.03</v>
      </c>
      <c r="J956" s="2" t="str">
        <f t="shared" si="43"/>
        <v>October</v>
      </c>
      <c r="K956" s="9">
        <f t="shared" si="44"/>
        <v>0.94456667911528813</v>
      </c>
    </row>
    <row r="957" spans="1:11" x14ac:dyDescent="0.35">
      <c r="A957" s="2" t="s">
        <v>1082</v>
      </c>
      <c r="B957" s="4" t="s">
        <v>654</v>
      </c>
      <c r="C957" s="2" t="s">
        <v>10</v>
      </c>
      <c r="D957" s="2" t="s">
        <v>28</v>
      </c>
      <c r="E957" s="2" t="s">
        <v>12</v>
      </c>
      <c r="F957" s="2">
        <v>13661.78</v>
      </c>
      <c r="G957" s="2">
        <v>3729.74</v>
      </c>
      <c r="H957" s="2">
        <v>2</v>
      </c>
      <c r="I957" s="2">
        <f t="shared" si="42"/>
        <v>9932.0400000000009</v>
      </c>
      <c r="J957" s="2" t="str">
        <f t="shared" si="43"/>
        <v>January</v>
      </c>
      <c r="K957" s="9">
        <f t="shared" si="44"/>
        <v>0.72699457903728504</v>
      </c>
    </row>
    <row r="958" spans="1:11" x14ac:dyDescent="0.35">
      <c r="A958" s="2" t="s">
        <v>1088</v>
      </c>
      <c r="B958" s="4" t="s">
        <v>707</v>
      </c>
      <c r="C958" s="2" t="s">
        <v>31</v>
      </c>
      <c r="D958" s="2" t="s">
        <v>28</v>
      </c>
      <c r="E958" s="2" t="s">
        <v>12</v>
      </c>
      <c r="F958" s="2">
        <v>29288.720000000001</v>
      </c>
      <c r="G958" s="2">
        <v>1539.46</v>
      </c>
      <c r="H958" s="2">
        <v>8</v>
      </c>
      <c r="I958" s="2">
        <f t="shared" si="42"/>
        <v>27749.260000000002</v>
      </c>
      <c r="J958" s="2" t="str">
        <f t="shared" si="43"/>
        <v>March</v>
      </c>
      <c r="K958" s="9">
        <f t="shared" si="44"/>
        <v>0.94743846777872165</v>
      </c>
    </row>
    <row r="959" spans="1:11" x14ac:dyDescent="0.35">
      <c r="A959" s="2" t="s">
        <v>1090</v>
      </c>
      <c r="B959" s="4" t="s">
        <v>286</v>
      </c>
      <c r="C959" s="2" t="s">
        <v>31</v>
      </c>
      <c r="D959" s="2" t="s">
        <v>28</v>
      </c>
      <c r="E959" s="2" t="s">
        <v>17</v>
      </c>
      <c r="F959" s="2">
        <v>19783.099999999999</v>
      </c>
      <c r="G959" s="2">
        <v>4804.8900000000003</v>
      </c>
      <c r="H959" s="2">
        <v>16</v>
      </c>
      <c r="I959" s="2">
        <f t="shared" si="42"/>
        <v>14978.21</v>
      </c>
      <c r="J959" s="2" t="str">
        <f t="shared" si="43"/>
        <v>November</v>
      </c>
      <c r="K959" s="9">
        <f t="shared" si="44"/>
        <v>0.75712148247746813</v>
      </c>
    </row>
    <row r="960" spans="1:11" x14ac:dyDescent="0.35">
      <c r="A960" s="2" t="s">
        <v>1102</v>
      </c>
      <c r="B960" s="4" t="s">
        <v>155</v>
      </c>
      <c r="C960" s="2" t="s">
        <v>31</v>
      </c>
      <c r="D960" s="2" t="s">
        <v>28</v>
      </c>
      <c r="E960" s="2" t="s">
        <v>17</v>
      </c>
      <c r="F960" s="2">
        <v>7595.62</v>
      </c>
      <c r="G960" s="2">
        <v>2112.54</v>
      </c>
      <c r="H960" s="2">
        <v>18</v>
      </c>
      <c r="I960" s="2">
        <f t="shared" si="42"/>
        <v>5483.08</v>
      </c>
      <c r="J960" s="2" t="str">
        <f t="shared" si="43"/>
        <v>July</v>
      </c>
      <c r="K960" s="9">
        <f t="shared" si="44"/>
        <v>0.72187392207614387</v>
      </c>
    </row>
    <row r="961" spans="1:11" x14ac:dyDescent="0.35">
      <c r="A961" s="2" t="s">
        <v>1104</v>
      </c>
      <c r="B961" s="4" t="s">
        <v>62</v>
      </c>
      <c r="C961" s="2" t="s">
        <v>31</v>
      </c>
      <c r="D961" s="2" t="s">
        <v>28</v>
      </c>
      <c r="E961" s="2" t="s">
        <v>12</v>
      </c>
      <c r="F961" s="2">
        <v>22614.73</v>
      </c>
      <c r="G961" s="2">
        <v>4726.6499999999996</v>
      </c>
      <c r="H961" s="2">
        <v>14</v>
      </c>
      <c r="I961" s="2">
        <f t="shared" si="42"/>
        <v>17888.080000000002</v>
      </c>
      <c r="J961" s="2" t="str">
        <f t="shared" si="43"/>
        <v>January</v>
      </c>
      <c r="K961" s="9">
        <f t="shared" si="44"/>
        <v>0.79099241954248412</v>
      </c>
    </row>
    <row r="962" spans="1:11" x14ac:dyDescent="0.35">
      <c r="A962" s="2" t="s">
        <v>1107</v>
      </c>
      <c r="B962" s="4" t="s">
        <v>812</v>
      </c>
      <c r="C962" s="2" t="s">
        <v>31</v>
      </c>
      <c r="D962" s="2" t="s">
        <v>28</v>
      </c>
      <c r="E962" s="2" t="s">
        <v>21</v>
      </c>
      <c r="F962" s="2">
        <v>18612.14</v>
      </c>
      <c r="G962" s="2">
        <v>1173.75</v>
      </c>
      <c r="H962" s="2">
        <v>16</v>
      </c>
      <c r="I962" s="2">
        <f t="shared" ref="I962:I1001" si="45">(F962-G962)</f>
        <v>17438.39</v>
      </c>
      <c r="J962" s="2" t="str">
        <f t="shared" ref="J962:J1001" si="46">TEXT(B962,"mmmm")</f>
        <v>June</v>
      </c>
      <c r="K962" s="9">
        <f t="shared" ref="K962:K1001" si="47">(F962-G962)/F962</f>
        <v>0.9369363222069037</v>
      </c>
    </row>
    <row r="963" spans="1:11" x14ac:dyDescent="0.35">
      <c r="A963" s="2" t="s">
        <v>1112</v>
      </c>
      <c r="B963" s="4" t="s">
        <v>323</v>
      </c>
      <c r="C963" s="2" t="s">
        <v>15</v>
      </c>
      <c r="D963" s="2" t="s">
        <v>28</v>
      </c>
      <c r="E963" s="2" t="s">
        <v>21</v>
      </c>
      <c r="F963" s="2">
        <v>24247.95</v>
      </c>
      <c r="G963" s="2">
        <v>6427.7</v>
      </c>
      <c r="H963" s="2">
        <v>11</v>
      </c>
      <c r="I963" s="2">
        <f t="shared" si="45"/>
        <v>17820.25</v>
      </c>
      <c r="J963" s="2" t="str">
        <f t="shared" si="46"/>
        <v>June</v>
      </c>
      <c r="K963" s="9">
        <f t="shared" si="47"/>
        <v>0.73491779717460648</v>
      </c>
    </row>
    <row r="964" spans="1:11" x14ac:dyDescent="0.35">
      <c r="A964" s="2" t="s">
        <v>1115</v>
      </c>
      <c r="B964" s="4" t="s">
        <v>825</v>
      </c>
      <c r="C964" s="2" t="s">
        <v>15</v>
      </c>
      <c r="D964" s="2" t="s">
        <v>28</v>
      </c>
      <c r="E964" s="2" t="s">
        <v>21</v>
      </c>
      <c r="F964" s="2">
        <v>20519.18</v>
      </c>
      <c r="G964" s="2">
        <v>5496.1</v>
      </c>
      <c r="H964" s="2">
        <v>9</v>
      </c>
      <c r="I964" s="2">
        <f t="shared" si="45"/>
        <v>15023.08</v>
      </c>
      <c r="J964" s="2" t="str">
        <f t="shared" si="46"/>
        <v>July</v>
      </c>
      <c r="K964" s="9">
        <f t="shared" si="47"/>
        <v>0.73214816576490871</v>
      </c>
    </row>
    <row r="965" spans="1:11" x14ac:dyDescent="0.35">
      <c r="A965" s="2" t="s">
        <v>1122</v>
      </c>
      <c r="B965" s="4" t="s">
        <v>476</v>
      </c>
      <c r="C965" s="2" t="s">
        <v>10</v>
      </c>
      <c r="D965" s="2" t="s">
        <v>28</v>
      </c>
      <c r="E965" s="2" t="s">
        <v>12</v>
      </c>
      <c r="F965" s="2">
        <v>5473.66</v>
      </c>
      <c r="G965" s="2">
        <v>688.35</v>
      </c>
      <c r="H965" s="2">
        <v>1</v>
      </c>
      <c r="I965" s="2">
        <f t="shared" si="45"/>
        <v>4785.3099999999995</v>
      </c>
      <c r="J965" s="2" t="str">
        <f t="shared" si="46"/>
        <v>September</v>
      </c>
      <c r="K965" s="9">
        <f t="shared" si="47"/>
        <v>0.87424319376797233</v>
      </c>
    </row>
    <row r="966" spans="1:11" x14ac:dyDescent="0.35">
      <c r="A966" s="2" t="s">
        <v>1124</v>
      </c>
      <c r="B966" s="4" t="s">
        <v>366</v>
      </c>
      <c r="C966" s="2" t="s">
        <v>27</v>
      </c>
      <c r="D966" s="2" t="s">
        <v>28</v>
      </c>
      <c r="E966" s="2" t="s">
        <v>21</v>
      </c>
      <c r="F966" s="2">
        <v>28155.33</v>
      </c>
      <c r="G966" s="2">
        <v>7446.24</v>
      </c>
      <c r="H966" s="2">
        <v>11</v>
      </c>
      <c r="I966" s="2">
        <f t="shared" si="45"/>
        <v>20709.090000000004</v>
      </c>
      <c r="J966" s="2" t="str">
        <f t="shared" si="46"/>
        <v>February</v>
      </c>
      <c r="K966" s="9">
        <f t="shared" si="47"/>
        <v>0.73553000444320848</v>
      </c>
    </row>
    <row r="967" spans="1:11" x14ac:dyDescent="0.35">
      <c r="A967" s="2" t="s">
        <v>1133</v>
      </c>
      <c r="B967" s="4" t="s">
        <v>54</v>
      </c>
      <c r="C967" s="2" t="s">
        <v>10</v>
      </c>
      <c r="D967" s="2" t="s">
        <v>28</v>
      </c>
      <c r="E967" s="2" t="s">
        <v>17</v>
      </c>
      <c r="F967" s="2">
        <v>7799.47</v>
      </c>
      <c r="G967" s="2">
        <v>923.64</v>
      </c>
      <c r="H967" s="2">
        <v>18</v>
      </c>
      <c r="I967" s="2">
        <f t="shared" si="45"/>
        <v>6875.83</v>
      </c>
      <c r="J967" s="2" t="str">
        <f t="shared" si="46"/>
        <v>January</v>
      </c>
      <c r="K967" s="9">
        <f t="shared" si="47"/>
        <v>0.88157656866428102</v>
      </c>
    </row>
    <row r="968" spans="1:11" x14ac:dyDescent="0.35">
      <c r="A968" s="2" t="s">
        <v>1138</v>
      </c>
      <c r="B968" s="4" t="s">
        <v>599</v>
      </c>
      <c r="C968" s="2" t="s">
        <v>15</v>
      </c>
      <c r="D968" s="2" t="s">
        <v>28</v>
      </c>
      <c r="E968" s="2" t="s">
        <v>12</v>
      </c>
      <c r="F968" s="2">
        <v>49140.23</v>
      </c>
      <c r="G968" s="2">
        <v>9239.6200000000008</v>
      </c>
      <c r="H968" s="2">
        <v>9</v>
      </c>
      <c r="I968" s="2">
        <f t="shared" si="45"/>
        <v>39900.61</v>
      </c>
      <c r="J968" s="2" t="str">
        <f t="shared" si="46"/>
        <v>May</v>
      </c>
      <c r="K968" s="9">
        <f t="shared" si="47"/>
        <v>0.81197442502812867</v>
      </c>
    </row>
    <row r="969" spans="1:11" x14ac:dyDescent="0.35">
      <c r="A969" s="2" t="s">
        <v>1146</v>
      </c>
      <c r="B969" s="4" t="s">
        <v>234</v>
      </c>
      <c r="C969" s="2" t="s">
        <v>31</v>
      </c>
      <c r="D969" s="2" t="s">
        <v>28</v>
      </c>
      <c r="E969" s="2" t="s">
        <v>12</v>
      </c>
      <c r="F969" s="2">
        <v>23821.439999999999</v>
      </c>
      <c r="G969" s="2">
        <v>6150.86</v>
      </c>
      <c r="H969" s="2">
        <v>19</v>
      </c>
      <c r="I969" s="2">
        <f t="shared" si="45"/>
        <v>17670.579999999998</v>
      </c>
      <c r="J969" s="2" t="str">
        <f t="shared" si="46"/>
        <v>October</v>
      </c>
      <c r="K969" s="9">
        <f t="shared" si="47"/>
        <v>0.74179310738561566</v>
      </c>
    </row>
    <row r="970" spans="1:11" x14ac:dyDescent="0.35">
      <c r="A970" s="2" t="s">
        <v>1153</v>
      </c>
      <c r="B970" s="4" t="s">
        <v>531</v>
      </c>
      <c r="C970" s="2" t="s">
        <v>10</v>
      </c>
      <c r="D970" s="2" t="s">
        <v>28</v>
      </c>
      <c r="E970" s="2" t="s">
        <v>21</v>
      </c>
      <c r="F970" s="2">
        <v>42078.31</v>
      </c>
      <c r="G970" s="2">
        <v>3739.22</v>
      </c>
      <c r="H970" s="2">
        <v>1</v>
      </c>
      <c r="I970" s="2">
        <f t="shared" si="45"/>
        <v>38339.089999999997</v>
      </c>
      <c r="J970" s="2" t="str">
        <f t="shared" si="46"/>
        <v>March</v>
      </c>
      <c r="K970" s="9">
        <f t="shared" si="47"/>
        <v>0.91113664023103591</v>
      </c>
    </row>
    <row r="971" spans="1:11" x14ac:dyDescent="0.35">
      <c r="A971" s="2" t="s">
        <v>1156</v>
      </c>
      <c r="B971" s="4" t="s">
        <v>344</v>
      </c>
      <c r="C971" s="2" t="s">
        <v>27</v>
      </c>
      <c r="D971" s="2" t="s">
        <v>28</v>
      </c>
      <c r="E971" s="2" t="s">
        <v>12</v>
      </c>
      <c r="F971" s="2">
        <v>37537.4</v>
      </c>
      <c r="G971" s="2">
        <v>8304.64</v>
      </c>
      <c r="H971" s="2">
        <v>16</v>
      </c>
      <c r="I971" s="2">
        <f t="shared" si="45"/>
        <v>29232.760000000002</v>
      </c>
      <c r="J971" s="2" t="str">
        <f t="shared" si="46"/>
        <v>June</v>
      </c>
      <c r="K971" s="9">
        <f t="shared" si="47"/>
        <v>0.77876357978975641</v>
      </c>
    </row>
    <row r="972" spans="1:11" x14ac:dyDescent="0.35">
      <c r="A972" s="2" t="s">
        <v>1158</v>
      </c>
      <c r="B972" s="4" t="s">
        <v>125</v>
      </c>
      <c r="C972" s="2" t="s">
        <v>10</v>
      </c>
      <c r="D972" s="2" t="s">
        <v>28</v>
      </c>
      <c r="E972" s="2" t="s">
        <v>17</v>
      </c>
      <c r="F972" s="2">
        <v>38492.79</v>
      </c>
      <c r="G972" s="2">
        <v>11048.05</v>
      </c>
      <c r="H972" s="2">
        <v>18</v>
      </c>
      <c r="I972" s="2">
        <f t="shared" si="45"/>
        <v>27444.74</v>
      </c>
      <c r="J972" s="2" t="str">
        <f t="shared" si="46"/>
        <v>January</v>
      </c>
      <c r="K972" s="9">
        <f t="shared" si="47"/>
        <v>0.71298391205210121</v>
      </c>
    </row>
    <row r="973" spans="1:11" x14ac:dyDescent="0.35">
      <c r="A973" s="2" t="s">
        <v>1161</v>
      </c>
      <c r="B973" s="4" t="s">
        <v>166</v>
      </c>
      <c r="C973" s="2" t="s">
        <v>31</v>
      </c>
      <c r="D973" s="2" t="s">
        <v>28</v>
      </c>
      <c r="E973" s="2" t="s">
        <v>21</v>
      </c>
      <c r="F973" s="2">
        <v>7293.86</v>
      </c>
      <c r="G973" s="2">
        <v>578.35</v>
      </c>
      <c r="H973" s="2">
        <v>14</v>
      </c>
      <c r="I973" s="2">
        <f t="shared" si="45"/>
        <v>6715.5099999999993</v>
      </c>
      <c r="J973" s="2" t="str">
        <f t="shared" si="46"/>
        <v>August</v>
      </c>
      <c r="K973" s="9">
        <f t="shared" si="47"/>
        <v>0.92070727982165812</v>
      </c>
    </row>
    <row r="974" spans="1:11" x14ac:dyDescent="0.35">
      <c r="A974" s="2" t="s">
        <v>1165</v>
      </c>
      <c r="B974" s="4" t="s">
        <v>164</v>
      </c>
      <c r="C974" s="2" t="s">
        <v>31</v>
      </c>
      <c r="D974" s="2" t="s">
        <v>28</v>
      </c>
      <c r="E974" s="2" t="s">
        <v>17</v>
      </c>
      <c r="F974" s="2">
        <v>43520.83</v>
      </c>
      <c r="G974" s="2">
        <v>8625.06</v>
      </c>
      <c r="H974" s="2">
        <v>7</v>
      </c>
      <c r="I974" s="2">
        <f t="shared" si="45"/>
        <v>34895.770000000004</v>
      </c>
      <c r="J974" s="2" t="str">
        <f t="shared" si="46"/>
        <v>April</v>
      </c>
      <c r="K974" s="9">
        <f t="shared" si="47"/>
        <v>0.8018176583488873</v>
      </c>
    </row>
    <row r="975" spans="1:11" x14ac:dyDescent="0.35">
      <c r="A975" s="2" t="s">
        <v>1166</v>
      </c>
      <c r="B975" s="4" t="s">
        <v>288</v>
      </c>
      <c r="C975" s="2" t="s">
        <v>31</v>
      </c>
      <c r="D975" s="2" t="s">
        <v>28</v>
      </c>
      <c r="E975" s="2" t="s">
        <v>21</v>
      </c>
      <c r="F975" s="2">
        <v>20215.810000000001</v>
      </c>
      <c r="G975" s="2">
        <v>5865.98</v>
      </c>
      <c r="H975" s="2">
        <v>8</v>
      </c>
      <c r="I975" s="2">
        <f t="shared" si="45"/>
        <v>14349.830000000002</v>
      </c>
      <c r="J975" s="2" t="str">
        <f t="shared" si="46"/>
        <v>September</v>
      </c>
      <c r="K975" s="9">
        <f t="shared" si="47"/>
        <v>0.70983205718692455</v>
      </c>
    </row>
    <row r="976" spans="1:11" x14ac:dyDescent="0.35">
      <c r="A976" s="2" t="s">
        <v>1167</v>
      </c>
      <c r="B976" s="4" t="s">
        <v>1168</v>
      </c>
      <c r="C976" s="2" t="s">
        <v>10</v>
      </c>
      <c r="D976" s="2" t="s">
        <v>28</v>
      </c>
      <c r="E976" s="2" t="s">
        <v>17</v>
      </c>
      <c r="F976" s="2">
        <v>7439.75</v>
      </c>
      <c r="G976" s="2">
        <v>654.02</v>
      </c>
      <c r="H976" s="2">
        <v>7</v>
      </c>
      <c r="I976" s="2">
        <f t="shared" si="45"/>
        <v>6785.73</v>
      </c>
      <c r="J976" s="2" t="str">
        <f t="shared" si="46"/>
        <v>August</v>
      </c>
      <c r="K976" s="9">
        <f t="shared" si="47"/>
        <v>0.91209113209449233</v>
      </c>
    </row>
    <row r="977" spans="1:11" x14ac:dyDescent="0.35">
      <c r="A977" s="2" t="s">
        <v>1172</v>
      </c>
      <c r="B977" s="4" t="s">
        <v>406</v>
      </c>
      <c r="C977" s="2" t="s">
        <v>15</v>
      </c>
      <c r="D977" s="2" t="s">
        <v>28</v>
      </c>
      <c r="E977" s="2" t="s">
        <v>17</v>
      </c>
      <c r="F977" s="2">
        <v>23697.919999999998</v>
      </c>
      <c r="G977" s="2">
        <v>3834.69</v>
      </c>
      <c r="H977" s="2">
        <v>1</v>
      </c>
      <c r="I977" s="2">
        <f t="shared" si="45"/>
        <v>19863.23</v>
      </c>
      <c r="J977" s="2" t="str">
        <f t="shared" si="46"/>
        <v>February</v>
      </c>
      <c r="K977" s="9">
        <f t="shared" si="47"/>
        <v>0.83818453265096693</v>
      </c>
    </row>
    <row r="978" spans="1:11" x14ac:dyDescent="0.35">
      <c r="A978" s="2" t="s">
        <v>1177</v>
      </c>
      <c r="B978" s="4" t="s">
        <v>809</v>
      </c>
      <c r="C978" s="2" t="s">
        <v>31</v>
      </c>
      <c r="D978" s="2" t="s">
        <v>28</v>
      </c>
      <c r="E978" s="2" t="s">
        <v>21</v>
      </c>
      <c r="F978" s="2">
        <v>10732.71</v>
      </c>
      <c r="G978" s="2">
        <v>2684.5</v>
      </c>
      <c r="H978" s="2">
        <v>6</v>
      </c>
      <c r="I978" s="2">
        <f t="shared" si="45"/>
        <v>8048.2099999999991</v>
      </c>
      <c r="J978" s="2" t="str">
        <f t="shared" si="46"/>
        <v>May</v>
      </c>
      <c r="K978" s="9">
        <f t="shared" si="47"/>
        <v>0.74987677855825785</v>
      </c>
    </row>
    <row r="979" spans="1:11" x14ac:dyDescent="0.35">
      <c r="A979" s="2" t="s">
        <v>1186</v>
      </c>
      <c r="B979" s="4" t="s">
        <v>693</v>
      </c>
      <c r="C979" s="2" t="s">
        <v>15</v>
      </c>
      <c r="D979" s="2" t="s">
        <v>28</v>
      </c>
      <c r="E979" s="2" t="s">
        <v>21</v>
      </c>
      <c r="F979" s="2">
        <v>11171.58</v>
      </c>
      <c r="G979" s="2">
        <v>1893.35</v>
      </c>
      <c r="H979" s="2">
        <v>6</v>
      </c>
      <c r="I979" s="2">
        <f t="shared" si="45"/>
        <v>9278.23</v>
      </c>
      <c r="J979" s="2" t="str">
        <f t="shared" si="46"/>
        <v>November</v>
      </c>
      <c r="K979" s="9">
        <f t="shared" si="47"/>
        <v>0.8305208394873419</v>
      </c>
    </row>
    <row r="980" spans="1:11" x14ac:dyDescent="0.35">
      <c r="A980" s="2" t="s">
        <v>1189</v>
      </c>
      <c r="B980" s="4" t="s">
        <v>397</v>
      </c>
      <c r="C980" s="2" t="s">
        <v>31</v>
      </c>
      <c r="D980" s="2" t="s">
        <v>28</v>
      </c>
      <c r="E980" s="2" t="s">
        <v>12</v>
      </c>
      <c r="F980" s="2">
        <v>13198.89</v>
      </c>
      <c r="G980" s="2">
        <v>2546.29</v>
      </c>
      <c r="H980" s="2">
        <v>8</v>
      </c>
      <c r="I980" s="2">
        <f t="shared" si="45"/>
        <v>10652.599999999999</v>
      </c>
      <c r="J980" s="2" t="str">
        <f t="shared" si="46"/>
        <v>April</v>
      </c>
      <c r="K980" s="9">
        <f t="shared" si="47"/>
        <v>0.8070830198600033</v>
      </c>
    </row>
    <row r="981" spans="1:11" x14ac:dyDescent="0.35">
      <c r="A981" s="2" t="s">
        <v>1191</v>
      </c>
      <c r="B981" s="4" t="s">
        <v>350</v>
      </c>
      <c r="C981" s="2" t="s">
        <v>15</v>
      </c>
      <c r="D981" s="2" t="s">
        <v>28</v>
      </c>
      <c r="E981" s="2" t="s">
        <v>12</v>
      </c>
      <c r="F981" s="2">
        <v>24242.44</v>
      </c>
      <c r="G981" s="2">
        <v>4321.5600000000004</v>
      </c>
      <c r="H981" s="2">
        <v>13</v>
      </c>
      <c r="I981" s="2">
        <f t="shared" si="45"/>
        <v>19920.879999999997</v>
      </c>
      <c r="J981" s="2" t="str">
        <f t="shared" si="46"/>
        <v>March</v>
      </c>
      <c r="K981" s="9">
        <f t="shared" si="47"/>
        <v>0.82173576587175212</v>
      </c>
    </row>
    <row r="982" spans="1:11" x14ac:dyDescent="0.35">
      <c r="A982" s="2" t="s">
        <v>1197</v>
      </c>
      <c r="B982" s="4" t="s">
        <v>549</v>
      </c>
      <c r="C982" s="2" t="s">
        <v>10</v>
      </c>
      <c r="D982" s="2" t="s">
        <v>28</v>
      </c>
      <c r="E982" s="2" t="s">
        <v>21</v>
      </c>
      <c r="F982" s="2">
        <v>29405.83</v>
      </c>
      <c r="G982" s="2">
        <v>4016.17</v>
      </c>
      <c r="H982" s="2">
        <v>10</v>
      </c>
      <c r="I982" s="2">
        <f t="shared" si="45"/>
        <v>25389.660000000003</v>
      </c>
      <c r="J982" s="2" t="str">
        <f t="shared" si="46"/>
        <v>November</v>
      </c>
      <c r="K982" s="9">
        <f t="shared" si="47"/>
        <v>0.86342266142462232</v>
      </c>
    </row>
    <row r="983" spans="1:11" x14ac:dyDescent="0.35">
      <c r="A983" s="2" t="s">
        <v>1200</v>
      </c>
      <c r="B983" s="4" t="s">
        <v>776</v>
      </c>
      <c r="C983" s="2" t="s">
        <v>10</v>
      </c>
      <c r="D983" s="2" t="s">
        <v>28</v>
      </c>
      <c r="E983" s="2" t="s">
        <v>12</v>
      </c>
      <c r="F983" s="2">
        <v>47524.959999999999</v>
      </c>
      <c r="G983" s="2">
        <v>7545.22</v>
      </c>
      <c r="H983" s="2">
        <v>15</v>
      </c>
      <c r="I983" s="2">
        <f t="shared" si="45"/>
        <v>39979.74</v>
      </c>
      <c r="J983" s="2" t="str">
        <f t="shared" si="46"/>
        <v>September</v>
      </c>
      <c r="K983" s="9">
        <f t="shared" si="47"/>
        <v>0.84123668909979088</v>
      </c>
    </row>
    <row r="984" spans="1:11" x14ac:dyDescent="0.35">
      <c r="A984" s="2" t="s">
        <v>1208</v>
      </c>
      <c r="B984" s="4" t="s">
        <v>442</v>
      </c>
      <c r="C984" s="2" t="s">
        <v>31</v>
      </c>
      <c r="D984" s="2" t="s">
        <v>28</v>
      </c>
      <c r="E984" s="2" t="s">
        <v>12</v>
      </c>
      <c r="F984" s="2">
        <v>28792.14</v>
      </c>
      <c r="G984" s="2">
        <v>6358.18</v>
      </c>
      <c r="H984" s="2">
        <v>16</v>
      </c>
      <c r="I984" s="2">
        <f t="shared" si="45"/>
        <v>22433.96</v>
      </c>
      <c r="J984" s="2" t="str">
        <f t="shared" si="46"/>
        <v>October</v>
      </c>
      <c r="K984" s="9">
        <f t="shared" si="47"/>
        <v>0.77916959281248288</v>
      </c>
    </row>
    <row r="985" spans="1:11" x14ac:dyDescent="0.35">
      <c r="A985" s="2" t="s">
        <v>1211</v>
      </c>
      <c r="B985" s="4" t="s">
        <v>113</v>
      </c>
      <c r="C985" s="2" t="s">
        <v>15</v>
      </c>
      <c r="D985" s="2" t="s">
        <v>28</v>
      </c>
      <c r="E985" s="2" t="s">
        <v>12</v>
      </c>
      <c r="F985" s="2">
        <v>39403.33</v>
      </c>
      <c r="G985" s="2">
        <v>6789.9</v>
      </c>
      <c r="H985" s="2">
        <v>3</v>
      </c>
      <c r="I985" s="2">
        <f t="shared" si="45"/>
        <v>32613.43</v>
      </c>
      <c r="J985" s="2" t="str">
        <f t="shared" si="46"/>
        <v>May</v>
      </c>
      <c r="K985" s="9">
        <f t="shared" si="47"/>
        <v>0.82768207661636717</v>
      </c>
    </row>
    <row r="986" spans="1:11" x14ac:dyDescent="0.35">
      <c r="A986" s="2" t="s">
        <v>1213</v>
      </c>
      <c r="B986" s="4" t="s">
        <v>1214</v>
      </c>
      <c r="C986" s="2" t="s">
        <v>27</v>
      </c>
      <c r="D986" s="2" t="s">
        <v>28</v>
      </c>
      <c r="E986" s="2" t="s">
        <v>12</v>
      </c>
      <c r="F986" s="2">
        <v>11627.97</v>
      </c>
      <c r="G986" s="2">
        <v>1302.45</v>
      </c>
      <c r="H986" s="2">
        <v>18</v>
      </c>
      <c r="I986" s="2">
        <f t="shared" si="45"/>
        <v>10325.519999999999</v>
      </c>
      <c r="J986" s="2" t="str">
        <f t="shared" si="46"/>
        <v>April</v>
      </c>
      <c r="K986" s="9">
        <f t="shared" si="47"/>
        <v>0.88798990709470349</v>
      </c>
    </row>
    <row r="987" spans="1:11" x14ac:dyDescent="0.35">
      <c r="A987" s="2" t="s">
        <v>1235</v>
      </c>
      <c r="B987" s="4" t="s">
        <v>290</v>
      </c>
      <c r="C987" s="2" t="s">
        <v>15</v>
      </c>
      <c r="D987" s="2" t="s">
        <v>28</v>
      </c>
      <c r="E987" s="2" t="s">
        <v>12</v>
      </c>
      <c r="F987" s="2">
        <v>34671.300000000003</v>
      </c>
      <c r="G987" s="2">
        <v>2437.9899999999998</v>
      </c>
      <c r="H987" s="2">
        <v>10</v>
      </c>
      <c r="I987" s="2">
        <f t="shared" si="45"/>
        <v>32233.310000000005</v>
      </c>
      <c r="J987" s="2" t="str">
        <f t="shared" si="46"/>
        <v>October</v>
      </c>
      <c r="K987" s="9">
        <f t="shared" si="47"/>
        <v>0.92968276355371737</v>
      </c>
    </row>
    <row r="988" spans="1:11" x14ac:dyDescent="0.35">
      <c r="A988" s="2" t="s">
        <v>1239</v>
      </c>
      <c r="B988" s="4" t="s">
        <v>271</v>
      </c>
      <c r="C988" s="2" t="s">
        <v>31</v>
      </c>
      <c r="D988" s="2" t="s">
        <v>28</v>
      </c>
      <c r="E988" s="2" t="s">
        <v>12</v>
      </c>
      <c r="F988" s="2">
        <v>43162.25</v>
      </c>
      <c r="G988" s="2">
        <v>7784.32</v>
      </c>
      <c r="H988" s="2">
        <v>6</v>
      </c>
      <c r="I988" s="2">
        <f t="shared" si="45"/>
        <v>35377.93</v>
      </c>
      <c r="J988" s="2" t="str">
        <f t="shared" si="46"/>
        <v>May</v>
      </c>
      <c r="K988" s="9">
        <f t="shared" si="47"/>
        <v>0.81964980972956691</v>
      </c>
    </row>
    <row r="989" spans="1:11" x14ac:dyDescent="0.35">
      <c r="A989" s="2" t="s">
        <v>1243</v>
      </c>
      <c r="B989" s="4" t="s">
        <v>601</v>
      </c>
      <c r="C989" s="2" t="s">
        <v>27</v>
      </c>
      <c r="D989" s="2" t="s">
        <v>28</v>
      </c>
      <c r="E989" s="2" t="s">
        <v>17</v>
      </c>
      <c r="F989" s="2">
        <v>37687.89</v>
      </c>
      <c r="G989" s="2">
        <v>5284.47</v>
      </c>
      <c r="H989" s="2">
        <v>7</v>
      </c>
      <c r="I989" s="2">
        <f t="shared" si="45"/>
        <v>32403.42</v>
      </c>
      <c r="J989" s="2" t="str">
        <f t="shared" si="46"/>
        <v>June</v>
      </c>
      <c r="K989" s="9">
        <f t="shared" si="47"/>
        <v>0.85978334154552027</v>
      </c>
    </row>
    <row r="990" spans="1:11" x14ac:dyDescent="0.35">
      <c r="A990" s="2" t="s">
        <v>1250</v>
      </c>
      <c r="B990" s="4" t="s">
        <v>754</v>
      </c>
      <c r="C990" s="2" t="s">
        <v>15</v>
      </c>
      <c r="D990" s="2" t="s">
        <v>28</v>
      </c>
      <c r="E990" s="2" t="s">
        <v>21</v>
      </c>
      <c r="F990" s="2">
        <v>11462</v>
      </c>
      <c r="G990" s="2">
        <v>1320.66</v>
      </c>
      <c r="H990" s="2">
        <v>16</v>
      </c>
      <c r="I990" s="2">
        <f t="shared" si="45"/>
        <v>10141.34</v>
      </c>
      <c r="J990" s="2" t="str">
        <f t="shared" si="46"/>
        <v>May</v>
      </c>
      <c r="K990" s="9">
        <f t="shared" si="47"/>
        <v>0.88477927063339734</v>
      </c>
    </row>
    <row r="991" spans="1:11" x14ac:dyDescent="0.35">
      <c r="A991" s="2" t="s">
        <v>1253</v>
      </c>
      <c r="B991" s="4" t="s">
        <v>208</v>
      </c>
      <c r="C991" s="2" t="s">
        <v>27</v>
      </c>
      <c r="D991" s="2" t="s">
        <v>28</v>
      </c>
      <c r="E991" s="2" t="s">
        <v>17</v>
      </c>
      <c r="F991" s="2">
        <v>18589.810000000001</v>
      </c>
      <c r="G991" s="2">
        <v>4750.54</v>
      </c>
      <c r="H991" s="2">
        <v>12</v>
      </c>
      <c r="I991" s="2">
        <f t="shared" si="45"/>
        <v>13839.27</v>
      </c>
      <c r="J991" s="2" t="str">
        <f t="shared" si="46"/>
        <v>April</v>
      </c>
      <c r="K991" s="9">
        <f t="shared" si="47"/>
        <v>0.74445462325865619</v>
      </c>
    </row>
    <row r="992" spans="1:11" x14ac:dyDescent="0.35">
      <c r="A992" s="2" t="s">
        <v>1259</v>
      </c>
      <c r="B992" s="4" t="s">
        <v>541</v>
      </c>
      <c r="C992" s="2" t="s">
        <v>31</v>
      </c>
      <c r="D992" s="2" t="s">
        <v>28</v>
      </c>
      <c r="E992" s="2" t="s">
        <v>12</v>
      </c>
      <c r="F992" s="2">
        <v>14698.46</v>
      </c>
      <c r="G992" s="2">
        <v>1185.26</v>
      </c>
      <c r="H992" s="2">
        <v>5</v>
      </c>
      <c r="I992" s="2">
        <f t="shared" si="45"/>
        <v>13513.199999999999</v>
      </c>
      <c r="J992" s="2" t="str">
        <f t="shared" si="46"/>
        <v>January</v>
      </c>
      <c r="K992" s="9">
        <f t="shared" si="47"/>
        <v>0.91936162019694578</v>
      </c>
    </row>
    <row r="993" spans="1:11" x14ac:dyDescent="0.35">
      <c r="A993" s="2" t="s">
        <v>1270</v>
      </c>
      <c r="B993" s="4" t="s">
        <v>82</v>
      </c>
      <c r="C993" s="2" t="s">
        <v>10</v>
      </c>
      <c r="D993" s="2" t="s">
        <v>28</v>
      </c>
      <c r="E993" s="2" t="s">
        <v>12</v>
      </c>
      <c r="F993" s="2">
        <v>22876.27</v>
      </c>
      <c r="G993" s="2">
        <v>2283.33</v>
      </c>
      <c r="H993" s="2">
        <v>6</v>
      </c>
      <c r="I993" s="2">
        <f t="shared" si="45"/>
        <v>20592.940000000002</v>
      </c>
      <c r="J993" s="2" t="str">
        <f t="shared" si="46"/>
        <v>October</v>
      </c>
      <c r="K993" s="9">
        <f t="shared" si="47"/>
        <v>0.90018783656601364</v>
      </c>
    </row>
    <row r="994" spans="1:11" x14ac:dyDescent="0.35">
      <c r="A994" s="2" t="s">
        <v>1271</v>
      </c>
      <c r="B994" s="4" t="s">
        <v>437</v>
      </c>
      <c r="C994" s="2" t="s">
        <v>15</v>
      </c>
      <c r="D994" s="2" t="s">
        <v>28</v>
      </c>
      <c r="E994" s="2" t="s">
        <v>21</v>
      </c>
      <c r="F994" s="2">
        <v>24741.360000000001</v>
      </c>
      <c r="G994" s="2">
        <v>3206.69</v>
      </c>
      <c r="H994" s="2">
        <v>5</v>
      </c>
      <c r="I994" s="2">
        <f t="shared" si="45"/>
        <v>21534.670000000002</v>
      </c>
      <c r="J994" s="2" t="str">
        <f t="shared" si="46"/>
        <v>October</v>
      </c>
      <c r="K994" s="9">
        <f t="shared" si="47"/>
        <v>0.87039152253554375</v>
      </c>
    </row>
    <row r="995" spans="1:11" x14ac:dyDescent="0.35">
      <c r="A995" s="2" t="s">
        <v>1275</v>
      </c>
      <c r="B995" s="4" t="s">
        <v>456</v>
      </c>
      <c r="C995" s="2" t="s">
        <v>10</v>
      </c>
      <c r="D995" s="2" t="s">
        <v>28</v>
      </c>
      <c r="E995" s="2" t="s">
        <v>12</v>
      </c>
      <c r="F995" s="2">
        <v>39455.47</v>
      </c>
      <c r="G995" s="2">
        <v>6561.55</v>
      </c>
      <c r="H995" s="2">
        <v>6</v>
      </c>
      <c r="I995" s="2">
        <f t="shared" si="45"/>
        <v>32893.919999999998</v>
      </c>
      <c r="J995" s="2" t="str">
        <f t="shared" si="46"/>
        <v>April</v>
      </c>
      <c r="K995" s="9">
        <f t="shared" si="47"/>
        <v>0.83369733018007386</v>
      </c>
    </row>
    <row r="996" spans="1:11" x14ac:dyDescent="0.35">
      <c r="A996" s="2" t="s">
        <v>1283</v>
      </c>
      <c r="B996" s="4" t="s">
        <v>1263</v>
      </c>
      <c r="C996" s="2" t="s">
        <v>15</v>
      </c>
      <c r="D996" s="2" t="s">
        <v>28</v>
      </c>
      <c r="E996" s="2" t="s">
        <v>17</v>
      </c>
      <c r="F996" s="2">
        <v>32819.49</v>
      </c>
      <c r="G996" s="2">
        <v>8336.5300000000007</v>
      </c>
      <c r="H996" s="2">
        <v>10</v>
      </c>
      <c r="I996" s="2">
        <f t="shared" si="45"/>
        <v>24482.959999999999</v>
      </c>
      <c r="J996" s="2" t="str">
        <f t="shared" si="46"/>
        <v>April</v>
      </c>
      <c r="K996" s="9">
        <f t="shared" si="47"/>
        <v>0.7459884355302292</v>
      </c>
    </row>
    <row r="997" spans="1:11" x14ac:dyDescent="0.35">
      <c r="A997" s="2" t="s">
        <v>1286</v>
      </c>
      <c r="B997" s="4" t="s">
        <v>615</v>
      </c>
      <c r="C997" s="2" t="s">
        <v>31</v>
      </c>
      <c r="D997" s="2" t="s">
        <v>28</v>
      </c>
      <c r="E997" s="2" t="s">
        <v>21</v>
      </c>
      <c r="F997" s="2">
        <v>23088.36</v>
      </c>
      <c r="G997" s="2">
        <v>4754.08</v>
      </c>
      <c r="H997" s="2">
        <v>15</v>
      </c>
      <c r="I997" s="2">
        <f t="shared" si="45"/>
        <v>18334.28</v>
      </c>
      <c r="J997" s="2" t="str">
        <f t="shared" si="46"/>
        <v>November</v>
      </c>
      <c r="K997" s="9">
        <f t="shared" si="47"/>
        <v>0.79409191471373441</v>
      </c>
    </row>
    <row r="998" spans="1:11" x14ac:dyDescent="0.35">
      <c r="A998" s="2" t="s">
        <v>1307</v>
      </c>
      <c r="B998" s="4" t="s">
        <v>572</v>
      </c>
      <c r="C998" s="2" t="s">
        <v>31</v>
      </c>
      <c r="D998" s="2" t="s">
        <v>28</v>
      </c>
      <c r="E998" s="2" t="s">
        <v>12</v>
      </c>
      <c r="F998" s="2">
        <v>32837.32</v>
      </c>
      <c r="G998" s="2">
        <v>4494.0600000000004</v>
      </c>
      <c r="H998" s="2">
        <v>18</v>
      </c>
      <c r="I998" s="2">
        <f t="shared" si="45"/>
        <v>28343.26</v>
      </c>
      <c r="J998" s="2" t="str">
        <f t="shared" si="46"/>
        <v>March</v>
      </c>
      <c r="K998" s="9">
        <f t="shared" si="47"/>
        <v>0.86314169365831317</v>
      </c>
    </row>
    <row r="999" spans="1:11" x14ac:dyDescent="0.35">
      <c r="A999" s="2" t="s">
        <v>1317</v>
      </c>
      <c r="B999" s="4" t="s">
        <v>1318</v>
      </c>
      <c r="C999" s="2" t="s">
        <v>15</v>
      </c>
      <c r="D999" s="2" t="s">
        <v>28</v>
      </c>
      <c r="E999" s="2" t="s">
        <v>21</v>
      </c>
      <c r="F999" s="2">
        <v>19357.849999999999</v>
      </c>
      <c r="G999" s="2">
        <v>3437.56</v>
      </c>
      <c r="H999" s="2">
        <v>11</v>
      </c>
      <c r="I999" s="2">
        <f t="shared" si="45"/>
        <v>15920.289999999999</v>
      </c>
      <c r="J999" s="2" t="str">
        <f t="shared" si="46"/>
        <v>June</v>
      </c>
      <c r="K999" s="9">
        <f t="shared" si="47"/>
        <v>0.82242036176538202</v>
      </c>
    </row>
    <row r="1000" spans="1:11" x14ac:dyDescent="0.35">
      <c r="A1000" s="2" t="s">
        <v>1326</v>
      </c>
      <c r="B1000" s="4" t="s">
        <v>292</v>
      </c>
      <c r="C1000" s="2" t="s">
        <v>31</v>
      </c>
      <c r="D1000" s="2" t="s">
        <v>28</v>
      </c>
      <c r="E1000" s="2" t="s">
        <v>21</v>
      </c>
      <c r="F1000" s="2">
        <v>16321.5</v>
      </c>
      <c r="G1000" s="2">
        <v>3746.85</v>
      </c>
      <c r="H1000" s="2">
        <v>13</v>
      </c>
      <c r="I1000" s="2">
        <f t="shared" si="45"/>
        <v>12574.65</v>
      </c>
      <c r="J1000" s="2" t="str">
        <f t="shared" si="46"/>
        <v>July</v>
      </c>
      <c r="K1000" s="9">
        <f t="shared" si="47"/>
        <v>0.77043470269276715</v>
      </c>
    </row>
    <row r="1001" spans="1:11" x14ac:dyDescent="0.35">
      <c r="A1001" s="2" t="s">
        <v>1339</v>
      </c>
      <c r="B1001" s="4" t="s">
        <v>193</v>
      </c>
      <c r="C1001" s="2" t="s">
        <v>10</v>
      </c>
      <c r="D1001" s="2" t="s">
        <v>28</v>
      </c>
      <c r="E1001" s="2" t="s">
        <v>17</v>
      </c>
      <c r="F1001" s="2">
        <v>23036.31</v>
      </c>
      <c r="G1001" s="2">
        <v>2473.4499999999998</v>
      </c>
      <c r="H1001" s="2">
        <v>18</v>
      </c>
      <c r="I1001" s="2">
        <f t="shared" si="45"/>
        <v>20562.86</v>
      </c>
      <c r="J1001" s="2" t="str">
        <f t="shared" si="46"/>
        <v>July</v>
      </c>
      <c r="K1001" s="9">
        <f t="shared" si="47"/>
        <v>0.89262820304119883</v>
      </c>
    </row>
  </sheetData>
  <sortState xmlns:xlrd2="http://schemas.microsoft.com/office/spreadsheetml/2017/richdata2" ref="A2:K1001">
    <sortCondition ref="D2:D1001"/>
  </sortState>
  <mergeCells count="1">
    <mergeCell ref="O6:P6"/>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FE5A-D23B-4EBF-BDB7-14385D019ACC}">
  <dimension ref="J4"/>
  <sheetViews>
    <sheetView showGridLines="0" tabSelected="1" topLeftCell="A7" workbookViewId="0">
      <selection activeCell="R13" sqref="R13"/>
    </sheetView>
  </sheetViews>
  <sheetFormatPr defaultRowHeight="14.5" x14ac:dyDescent="0.35"/>
  <sheetData>
    <row r="4" spans="10:10" x14ac:dyDescent="0.35">
      <c r="J4" t="s">
        <v>1358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vt:lpstr>
      <vt:lpstr>Monthly wise trends</vt:lpstr>
      <vt:lpstr>Summary of KPI tables</vt:lpstr>
      <vt:lpstr>Total sales, Profit, Quantity, </vt:lpstr>
      <vt:lpstr>Top Sales Products</vt:lpstr>
      <vt:lpstr>Monts &amp; REgion Wise Sales</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sonuk</cp:lastModifiedBy>
  <dcterms:created xsi:type="dcterms:W3CDTF">2026-05-09T12:55:56Z</dcterms:created>
  <dcterms:modified xsi:type="dcterms:W3CDTF">2026-05-29T14:46:04Z</dcterms:modified>
</cp:coreProperties>
</file>